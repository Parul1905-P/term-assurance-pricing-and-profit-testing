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9125d7e54e365f/Desktop/"/>
    </mc:Choice>
  </mc:AlternateContent>
  <xr:revisionPtr revIDLastSave="324" documentId="8_{EC52312B-F764-4C5E-BD69-652CE98FE251}" xr6:coauthVersionLast="47" xr6:coauthVersionMax="47" xr10:uidLastSave="{E737D20C-A8DF-4667-A1DC-C5711B1C7926}"/>
  <bookViews>
    <workbookView xWindow="-108" yWindow="-108" windowWidth="23256" windowHeight="12456" firstSheet="1" activeTab="1" xr2:uid="{B847C7D8-3B90-49C1-87C2-F87909D42B15}"/>
  </bookViews>
  <sheets>
    <sheet name="Assumptions" sheetId="1" r:id="rId1"/>
    <sheet name="Mortality" sheetId="2" r:id="rId2"/>
    <sheet name="Expected Claims" sheetId="3" r:id="rId3"/>
    <sheet name="Premium Calculation" sheetId="4" r:id="rId4"/>
    <sheet name="Profit Testing" sheetId="5" r:id="rId5"/>
    <sheet name="Sensitivity Analysis" sheetId="6" r:id="rId6"/>
    <sheet name="Summary Dashboard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7" l="1"/>
  <c r="B28" i="7"/>
  <c r="B27" i="7"/>
  <c r="B26" i="7"/>
  <c r="B25" i="7"/>
  <c r="B23" i="7"/>
  <c r="B24" i="7"/>
  <c r="A29" i="7"/>
  <c r="A28" i="7"/>
  <c r="A27" i="7"/>
  <c r="A26" i="7"/>
  <c r="A25" i="7"/>
  <c r="A24" i="7"/>
  <c r="A23" i="7"/>
  <c r="B19" i="7"/>
  <c r="B18" i="7"/>
  <c r="B17" i="7"/>
  <c r="B16" i="7"/>
  <c r="B15" i="7"/>
  <c r="B5" i="7"/>
  <c r="B6" i="7"/>
  <c r="B7" i="7"/>
  <c r="B8" i="7"/>
  <c r="B9" i="7"/>
  <c r="B10" i="7"/>
  <c r="B11" i="7"/>
  <c r="B4" i="7"/>
  <c r="A8" i="7"/>
  <c r="A9" i="7"/>
  <c r="A10" i="7"/>
  <c r="A11" i="7"/>
  <c r="A7" i="7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4" i="5"/>
  <c r="H6" i="5"/>
  <c r="H7" i="5"/>
  <c r="H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C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4" i="5"/>
  <c r="B33" i="4"/>
  <c r="J14" i="4"/>
  <c r="J15" i="4"/>
  <c r="J16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K19" i="4" s="1"/>
  <c r="I20" i="4"/>
  <c r="K20" i="4" s="1"/>
  <c r="I21" i="4"/>
  <c r="K21" i="4" s="1"/>
  <c r="I22" i="4"/>
  <c r="I23" i="4"/>
  <c r="I5" i="4"/>
  <c r="H4" i="4"/>
  <c r="G5" i="4"/>
  <c r="G6" i="4"/>
  <c r="G7" i="4"/>
  <c r="K7" i="4" s="1"/>
  <c r="G8" i="4"/>
  <c r="G9" i="4"/>
  <c r="G10" i="4"/>
  <c r="G11" i="4"/>
  <c r="G12" i="4"/>
  <c r="G13" i="4"/>
  <c r="G14" i="4"/>
  <c r="G15" i="4"/>
  <c r="K15" i="4" s="1"/>
  <c r="G16" i="4"/>
  <c r="K16" i="4" s="1"/>
  <c r="G17" i="4"/>
  <c r="K17" i="4" s="1"/>
  <c r="G18" i="4"/>
  <c r="G19" i="4"/>
  <c r="G20" i="4"/>
  <c r="G21" i="4"/>
  <c r="G22" i="4"/>
  <c r="G23" i="4"/>
  <c r="G4" i="4"/>
  <c r="F6" i="4"/>
  <c r="J6" i="4" s="1"/>
  <c r="F7" i="4"/>
  <c r="J7" i="4" s="1"/>
  <c r="F8" i="4"/>
  <c r="H8" i="5" s="1"/>
  <c r="F9" i="4"/>
  <c r="J9" i="4" s="1"/>
  <c r="F10" i="4"/>
  <c r="J10" i="4" s="1"/>
  <c r="F11" i="4"/>
  <c r="J11" i="4" s="1"/>
  <c r="F12" i="4"/>
  <c r="J12" i="4" s="1"/>
  <c r="F13" i="4"/>
  <c r="H13" i="5" s="1"/>
  <c r="F14" i="4"/>
  <c r="H14" i="5" s="1"/>
  <c r="F15" i="4"/>
  <c r="H15" i="5" s="1"/>
  <c r="F16" i="4"/>
  <c r="H16" i="5" s="1"/>
  <c r="F17" i="4"/>
  <c r="H17" i="5" s="1"/>
  <c r="F18" i="4"/>
  <c r="H18" i="5" s="1"/>
  <c r="F19" i="4"/>
  <c r="J19" i="4" s="1"/>
  <c r="F20" i="4"/>
  <c r="H20" i="5" s="1"/>
  <c r="F21" i="4"/>
  <c r="J21" i="4" s="1"/>
  <c r="F22" i="4"/>
  <c r="H22" i="5" s="1"/>
  <c r="F23" i="4"/>
  <c r="H23" i="5" s="1"/>
  <c r="F5" i="4"/>
  <c r="H5" i="5" s="1"/>
  <c r="E4" i="4"/>
  <c r="J4" i="4" s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4" i="4"/>
  <c r="L4" i="4" s="1"/>
  <c r="C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4" i="4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4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D12" i="2"/>
  <c r="C14" i="3" s="1"/>
  <c r="D23" i="2"/>
  <c r="D24" i="2"/>
  <c r="C3" i="2"/>
  <c r="D3" i="2" s="1"/>
  <c r="C5" i="3" s="1"/>
  <c r="C4" i="2"/>
  <c r="D4" i="2" s="1"/>
  <c r="C6" i="3" s="1"/>
  <c r="C5" i="2"/>
  <c r="D5" i="2" s="1"/>
  <c r="C7" i="3" s="1"/>
  <c r="C6" i="2"/>
  <c r="D6" i="2" s="1"/>
  <c r="C8" i="3" s="1"/>
  <c r="C7" i="2"/>
  <c r="D7" i="2" s="1"/>
  <c r="C9" i="3" s="1"/>
  <c r="C8" i="2"/>
  <c r="D8" i="2" s="1"/>
  <c r="C10" i="3" s="1"/>
  <c r="C9" i="2"/>
  <c r="D9" i="2" s="1"/>
  <c r="C11" i="3" s="1"/>
  <c r="C10" i="2"/>
  <c r="D10" i="2" s="1"/>
  <c r="C12" i="3" s="1"/>
  <c r="C11" i="2"/>
  <c r="D11" i="2" s="1"/>
  <c r="C13" i="3" s="1"/>
  <c r="C12" i="2"/>
  <c r="C13" i="2"/>
  <c r="D13" i="2" s="1"/>
  <c r="C15" i="3" s="1"/>
  <c r="C14" i="2"/>
  <c r="D14" i="2" s="1"/>
  <c r="C16" i="3" s="1"/>
  <c r="C15" i="2"/>
  <c r="D15" i="2" s="1"/>
  <c r="C17" i="3" s="1"/>
  <c r="C16" i="2"/>
  <c r="D16" i="2" s="1"/>
  <c r="C18" i="3" s="1"/>
  <c r="C17" i="2"/>
  <c r="D17" i="2" s="1"/>
  <c r="C19" i="3" s="1"/>
  <c r="C18" i="2"/>
  <c r="D18" i="2" s="1"/>
  <c r="C20" i="3" s="1"/>
  <c r="C19" i="2"/>
  <c r="D19" i="2" s="1"/>
  <c r="C21" i="3" s="1"/>
  <c r="C20" i="2"/>
  <c r="D20" i="2" s="1"/>
  <c r="C22" i="3" s="1"/>
  <c r="C21" i="2"/>
  <c r="D21" i="2" s="1"/>
  <c r="C23" i="3" s="1"/>
  <c r="C22" i="2"/>
  <c r="D22" i="2" s="1"/>
  <c r="C23" i="2"/>
  <c r="C24" i="2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2" i="2"/>
  <c r="D2" i="2" s="1"/>
  <c r="C4" i="3" s="1"/>
  <c r="K22" i="4" l="1"/>
  <c r="H10" i="5"/>
  <c r="H19" i="5"/>
  <c r="J18" i="4"/>
  <c r="J17" i="4"/>
  <c r="K10" i="4"/>
  <c r="K14" i="4"/>
  <c r="K9" i="4"/>
  <c r="K8" i="4"/>
  <c r="J13" i="4"/>
  <c r="K13" i="4"/>
  <c r="K23" i="4"/>
  <c r="K18" i="4"/>
  <c r="K6" i="4"/>
  <c r="K12" i="4"/>
  <c r="K11" i="4"/>
  <c r="K5" i="4"/>
  <c r="K4" i="4"/>
  <c r="M4" i="4" s="1"/>
  <c r="J5" i="4"/>
  <c r="H12" i="5"/>
  <c r="H11" i="5"/>
  <c r="J20" i="4"/>
  <c r="J8" i="4"/>
  <c r="H21" i="5"/>
  <c r="H9" i="5"/>
  <c r="J23" i="4"/>
  <c r="J22" i="4"/>
  <c r="G4" i="5"/>
  <c r="E4" i="3"/>
  <c r="E4" i="5" s="1"/>
  <c r="F4" i="5" s="1"/>
  <c r="D5" i="3"/>
  <c r="N4" i="4"/>
  <c r="G4" i="3" l="1"/>
  <c r="C5" i="4"/>
  <c r="C5" i="5"/>
  <c r="D6" i="3"/>
  <c r="E5" i="3"/>
  <c r="E5" i="5" l="1"/>
  <c r="F5" i="5" s="1"/>
  <c r="G5" i="3"/>
  <c r="C6" i="5"/>
  <c r="D7" i="3"/>
  <c r="C6" i="4"/>
  <c r="E6" i="3"/>
  <c r="N5" i="4"/>
  <c r="L5" i="4"/>
  <c r="M5" i="4" l="1"/>
  <c r="N6" i="4"/>
  <c r="L6" i="4"/>
  <c r="M6" i="4" s="1"/>
  <c r="C7" i="4"/>
  <c r="E7" i="3"/>
  <c r="D8" i="3"/>
  <c r="C7" i="5"/>
  <c r="E6" i="5"/>
  <c r="F6" i="5" s="1"/>
  <c r="G6" i="3"/>
  <c r="K9" i="5"/>
  <c r="I9" i="5"/>
  <c r="J9" i="5"/>
  <c r="K10" i="5"/>
  <c r="I10" i="5"/>
  <c r="J10" i="5"/>
  <c r="I20" i="5"/>
  <c r="K20" i="5"/>
  <c r="J20" i="5"/>
  <c r="I6" i="5"/>
  <c r="J6" i="5"/>
  <c r="K6" i="5"/>
  <c r="K12" i="5"/>
  <c r="J12" i="5"/>
  <c r="I12" i="5"/>
  <c r="L12" i="5" s="1"/>
  <c r="M12" i="5" s="1"/>
  <c r="I21" i="5"/>
  <c r="K21" i="5"/>
  <c r="J21" i="5"/>
  <c r="I15" i="5"/>
  <c r="J15" i="5"/>
  <c r="K15" i="5"/>
  <c r="J14" i="5"/>
  <c r="K14" i="5"/>
  <c r="I14" i="5"/>
  <c r="J11" i="5"/>
  <c r="K11" i="5"/>
  <c r="I11" i="5"/>
  <c r="L11" i="5" s="1"/>
  <c r="M11" i="5" s="1"/>
  <c r="I18" i="5"/>
  <c r="J18" i="5"/>
  <c r="K18" i="5"/>
  <c r="J13" i="5"/>
  <c r="K13" i="5"/>
  <c r="I13" i="5"/>
  <c r="L13" i="5" s="1"/>
  <c r="M13" i="5" s="1"/>
  <c r="J5" i="5"/>
  <c r="I5" i="5"/>
  <c r="K5" i="5"/>
  <c r="K22" i="5"/>
  <c r="I22" i="5"/>
  <c r="J22" i="5"/>
  <c r="I8" i="5"/>
  <c r="K8" i="5"/>
  <c r="J8" i="5"/>
  <c r="J17" i="5"/>
  <c r="K17" i="5"/>
  <c r="I17" i="5"/>
  <c r="K19" i="5"/>
  <c r="I19" i="5"/>
  <c r="J19" i="5"/>
  <c r="J16" i="5"/>
  <c r="K16" i="5"/>
  <c r="I16" i="5"/>
  <c r="L16" i="5" s="1"/>
  <c r="M16" i="5" s="1"/>
  <c r="K7" i="5"/>
  <c r="I7" i="5"/>
  <c r="J7" i="5"/>
  <c r="K4" i="5"/>
  <c r="I4" i="5"/>
  <c r="J4" i="5"/>
  <c r="J23" i="5"/>
  <c r="K23" i="5"/>
  <c r="I23" i="5"/>
  <c r="E7" i="5" l="1"/>
  <c r="F7" i="5" s="1"/>
  <c r="G7" i="3"/>
  <c r="D9" i="3"/>
  <c r="C8" i="4"/>
  <c r="E8" i="3"/>
  <c r="C8" i="5"/>
  <c r="L7" i="4"/>
  <c r="M7" i="4" s="1"/>
  <c r="N7" i="4"/>
  <c r="L9" i="5"/>
  <c r="M9" i="5" s="1"/>
  <c r="L21" i="5"/>
  <c r="M21" i="5" s="1"/>
  <c r="L5" i="5"/>
  <c r="M5" i="5" s="1"/>
  <c r="N5" i="5" s="1"/>
  <c r="P5" i="5" s="1"/>
  <c r="L15" i="5"/>
  <c r="M15" i="5" s="1"/>
  <c r="L20" i="5"/>
  <c r="M20" i="5" s="1"/>
  <c r="L10" i="5"/>
  <c r="M10" i="5" s="1"/>
  <c r="L8" i="5"/>
  <c r="M8" i="5" s="1"/>
  <c r="L6" i="5"/>
  <c r="M6" i="5" s="1"/>
  <c r="N6" i="5" s="1"/>
  <c r="P6" i="5" s="1"/>
  <c r="L4" i="5"/>
  <c r="M4" i="5" s="1"/>
  <c r="N4" i="5" s="1"/>
  <c r="P4" i="5" s="1"/>
  <c r="L18" i="5"/>
  <c r="M18" i="5" s="1"/>
  <c r="L19" i="5"/>
  <c r="M19" i="5" s="1"/>
  <c r="L23" i="5"/>
  <c r="M23" i="5" s="1"/>
  <c r="L7" i="5"/>
  <c r="M7" i="5" s="1"/>
  <c r="L14" i="5"/>
  <c r="M14" i="5" s="1"/>
  <c r="L17" i="5"/>
  <c r="M17" i="5" s="1"/>
  <c r="L22" i="5"/>
  <c r="M22" i="5" s="1"/>
  <c r="N7" i="5" l="1"/>
  <c r="P7" i="5" s="1"/>
  <c r="E8" i="5"/>
  <c r="F8" i="5" s="1"/>
  <c r="N8" i="5" s="1"/>
  <c r="P8" i="5" s="1"/>
  <c r="G8" i="3"/>
  <c r="N8" i="4"/>
  <c r="L8" i="4"/>
  <c r="M8" i="4" s="1"/>
  <c r="D10" i="3"/>
  <c r="C9" i="4"/>
  <c r="E9" i="3"/>
  <c r="C9" i="5"/>
  <c r="E9" i="5" l="1"/>
  <c r="F9" i="5" s="1"/>
  <c r="N9" i="5" s="1"/>
  <c r="P9" i="5" s="1"/>
  <c r="G9" i="3"/>
  <c r="L9" i="4"/>
  <c r="N9" i="4"/>
  <c r="D11" i="3"/>
  <c r="E10" i="3"/>
  <c r="C10" i="4"/>
  <c r="C10" i="5"/>
  <c r="M9" i="4" l="1"/>
  <c r="E10" i="5"/>
  <c r="F10" i="5" s="1"/>
  <c r="N10" i="5" s="1"/>
  <c r="P10" i="5" s="1"/>
  <c r="G10" i="3"/>
  <c r="L10" i="4"/>
  <c r="M10" i="4" s="1"/>
  <c r="N10" i="4"/>
  <c r="D12" i="3"/>
  <c r="C11" i="4"/>
  <c r="E11" i="3"/>
  <c r="C11" i="5"/>
  <c r="E11" i="5" l="1"/>
  <c r="F11" i="5" s="1"/>
  <c r="N11" i="5" s="1"/>
  <c r="P11" i="5" s="1"/>
  <c r="G11" i="3"/>
  <c r="L11" i="4"/>
  <c r="M11" i="4" s="1"/>
  <c r="N11" i="4"/>
  <c r="D13" i="3"/>
  <c r="C12" i="5"/>
  <c r="C12" i="4"/>
  <c r="E12" i="3"/>
  <c r="L12" i="4" l="1"/>
  <c r="M12" i="4" s="1"/>
  <c r="N12" i="4"/>
  <c r="E12" i="5"/>
  <c r="F12" i="5" s="1"/>
  <c r="N12" i="5" s="1"/>
  <c r="P12" i="5" s="1"/>
  <c r="G12" i="3"/>
  <c r="D14" i="3"/>
  <c r="C13" i="5"/>
  <c r="C13" i="4"/>
  <c r="E13" i="3"/>
  <c r="N13" i="4" l="1"/>
  <c r="L13" i="4"/>
  <c r="M13" i="4" s="1"/>
  <c r="E13" i="5"/>
  <c r="F13" i="5" s="1"/>
  <c r="N13" i="5" s="1"/>
  <c r="P13" i="5" s="1"/>
  <c r="G13" i="3"/>
  <c r="D15" i="3"/>
  <c r="C14" i="5"/>
  <c r="E14" i="3"/>
  <c r="C14" i="4"/>
  <c r="N14" i="4" l="1"/>
  <c r="L14" i="4"/>
  <c r="M14" i="4" s="1"/>
  <c r="E14" i="5"/>
  <c r="F14" i="5" s="1"/>
  <c r="N14" i="5" s="1"/>
  <c r="P14" i="5" s="1"/>
  <c r="G14" i="3"/>
  <c r="D16" i="3"/>
  <c r="C15" i="5"/>
  <c r="C15" i="4"/>
  <c r="E15" i="3"/>
  <c r="L15" i="4" l="1"/>
  <c r="M15" i="4" s="1"/>
  <c r="N15" i="4"/>
  <c r="E15" i="5"/>
  <c r="F15" i="5" s="1"/>
  <c r="N15" i="5" s="1"/>
  <c r="P15" i="5" s="1"/>
  <c r="G15" i="3"/>
  <c r="D17" i="3"/>
  <c r="C16" i="5"/>
  <c r="C16" i="4"/>
  <c r="E16" i="3"/>
  <c r="E16" i="5" l="1"/>
  <c r="F16" i="5" s="1"/>
  <c r="N16" i="5" s="1"/>
  <c r="P16" i="5" s="1"/>
  <c r="G16" i="3"/>
  <c r="N16" i="4"/>
  <c r="L16" i="4"/>
  <c r="M16" i="4" s="1"/>
  <c r="D18" i="3"/>
  <c r="C17" i="5"/>
  <c r="C17" i="4"/>
  <c r="E17" i="3"/>
  <c r="L17" i="4" l="1"/>
  <c r="M17" i="4" s="1"/>
  <c r="N17" i="4"/>
  <c r="E17" i="5"/>
  <c r="F17" i="5" s="1"/>
  <c r="N17" i="5" s="1"/>
  <c r="P17" i="5" s="1"/>
  <c r="G17" i="3"/>
  <c r="D19" i="3"/>
  <c r="C18" i="5"/>
  <c r="C18" i="4"/>
  <c r="E18" i="3"/>
  <c r="D20" i="3" l="1"/>
  <c r="C19" i="4"/>
  <c r="E19" i="3"/>
  <c r="C19" i="5"/>
  <c r="E18" i="5"/>
  <c r="F18" i="5" s="1"/>
  <c r="N18" i="5" s="1"/>
  <c r="P18" i="5" s="1"/>
  <c r="G18" i="3"/>
  <c r="L18" i="4"/>
  <c r="M18" i="4" s="1"/>
  <c r="N18" i="4"/>
  <c r="N19" i="4" l="1"/>
  <c r="L19" i="4"/>
  <c r="M19" i="4" s="1"/>
  <c r="E19" i="5"/>
  <c r="F19" i="5" s="1"/>
  <c r="N19" i="5" s="1"/>
  <c r="P19" i="5" s="1"/>
  <c r="G19" i="3"/>
  <c r="D21" i="3"/>
  <c r="C20" i="4"/>
  <c r="E20" i="3"/>
  <c r="C20" i="5"/>
  <c r="N20" i="4" l="1"/>
  <c r="L20" i="4"/>
  <c r="M20" i="4" s="1"/>
  <c r="E20" i="5"/>
  <c r="F20" i="5" s="1"/>
  <c r="N20" i="5" s="1"/>
  <c r="P20" i="5" s="1"/>
  <c r="G20" i="3"/>
  <c r="D22" i="3"/>
  <c r="E21" i="3"/>
  <c r="C21" i="4"/>
  <c r="C21" i="5"/>
  <c r="N21" i="4" l="1"/>
  <c r="L21" i="4"/>
  <c r="M21" i="4" s="1"/>
  <c r="E21" i="5"/>
  <c r="F21" i="5" s="1"/>
  <c r="N21" i="5" s="1"/>
  <c r="P21" i="5" s="1"/>
  <c r="G21" i="3"/>
  <c r="D23" i="3"/>
  <c r="C22" i="4"/>
  <c r="E22" i="3"/>
  <c r="C22" i="5"/>
  <c r="N22" i="4" l="1"/>
  <c r="L22" i="4"/>
  <c r="M22" i="4" s="1"/>
  <c r="E22" i="5"/>
  <c r="F22" i="5" s="1"/>
  <c r="N22" i="5" s="1"/>
  <c r="P22" i="5" s="1"/>
  <c r="G22" i="3"/>
  <c r="C23" i="4"/>
  <c r="E23" i="3"/>
  <c r="C23" i="5"/>
  <c r="E23" i="5" l="1"/>
  <c r="F23" i="5" s="1"/>
  <c r="N23" i="5" s="1"/>
  <c r="P23" i="5" s="1"/>
  <c r="P25" i="5" s="1"/>
  <c r="G23" i="3"/>
  <c r="G25" i="3" s="1"/>
  <c r="B29" i="4" s="1"/>
  <c r="N23" i="4"/>
  <c r="N27" i="4" s="1"/>
  <c r="B30" i="4" s="1"/>
  <c r="L23" i="4"/>
  <c r="M23" i="4" l="1"/>
  <c r="M26" i="4" s="1"/>
  <c r="B32" i="4" s="1"/>
  <c r="B34" i="4" s="1"/>
  <c r="L25" i="4"/>
  <c r="B31" i="4" s="1"/>
</calcChain>
</file>

<file path=xl/sharedStrings.xml><?xml version="1.0" encoding="utf-8"?>
<sst xmlns="http://schemas.openxmlformats.org/spreadsheetml/2006/main" count="107" uniqueCount="84">
  <si>
    <t>TERM ASSURANCE PRICING AND PROFIT TESTING MODEL</t>
  </si>
  <si>
    <t>Assumption</t>
  </si>
  <si>
    <t>Value</t>
  </si>
  <si>
    <t>Sum Assured (₹)</t>
  </si>
  <si>
    <t>Mortality Basis</t>
  </si>
  <si>
    <t>Entry Age</t>
  </si>
  <si>
    <t>Policy Term (years)</t>
  </si>
  <si>
    <t>Premium Frequency</t>
  </si>
  <si>
    <t>Market 10Y G-Sec Yield</t>
  </si>
  <si>
    <t>Pricing Interest Rate</t>
  </si>
  <si>
    <t>Mortality Loading</t>
  </si>
  <si>
    <t>Acquisition Expense (₹)</t>
  </si>
  <si>
    <t>Renewal Expense (₹)</t>
  </si>
  <si>
    <t>Variable Expense (% Premium)</t>
  </si>
  <si>
    <t>First-Year Commission</t>
  </si>
  <si>
    <t>First-Year Commission (% Premium)</t>
  </si>
  <si>
    <t>Renewal Commission (% Premium)</t>
  </si>
  <si>
    <t>Target Profit Margin</t>
  </si>
  <si>
    <t>Annual</t>
  </si>
  <si>
    <t>IALM 2012-14 Ultimate</t>
  </si>
  <si>
    <t>Age</t>
  </si>
  <si>
    <t>qx</t>
  </si>
  <si>
    <t>Pricing qx</t>
  </si>
  <si>
    <t>Source</t>
  </si>
  <si>
    <t>TERM ASSURANCE PREMIUM CALCULATION</t>
  </si>
  <si>
    <t>Policy Year</t>
  </si>
  <si>
    <t>Survival probability to year start</t>
  </si>
  <si>
    <t>Death Probability</t>
  </si>
  <si>
    <t>Discount factor</t>
  </si>
  <si>
    <t>PV of Expected Death Benefit</t>
  </si>
  <si>
    <t>Policy year</t>
  </si>
  <si>
    <t>Survival Probability</t>
  </si>
  <si>
    <t>Discount Factor</t>
  </si>
  <si>
    <t>Acquisition Expense</t>
  </si>
  <si>
    <t>Renewal Expense</t>
  </si>
  <si>
    <t>Renewal Commission</t>
  </si>
  <si>
    <t>Total Fixed Expense</t>
  </si>
  <si>
    <t>Premium-Linked Expense Rate</t>
  </si>
  <si>
    <t>EPV Factor of Premium</t>
  </si>
  <si>
    <t>EPV Factor of Annual Premiums</t>
  </si>
  <si>
    <t>EPV Factor of Premium linked expenses</t>
  </si>
  <si>
    <t>EPV Factor of Premium-Linked Expenses</t>
  </si>
  <si>
    <t>EPV of Fixed Expenses</t>
  </si>
  <si>
    <t>EPV of fixed expenses</t>
  </si>
  <si>
    <t>EPV of Death Benefits</t>
  </si>
  <si>
    <t>Total Profit Margin</t>
  </si>
  <si>
    <t>Annual Gross Premium</t>
  </si>
  <si>
    <t>TERM ASSURANCE PROFIT TESTING</t>
  </si>
  <si>
    <t>Premium</t>
  </si>
  <si>
    <t>Expected Death Benefit</t>
  </si>
  <si>
    <t>Variable Expense</t>
  </si>
  <si>
    <t>Total Expenses</t>
  </si>
  <si>
    <t>Investment Income</t>
  </si>
  <si>
    <t>Profit</t>
  </si>
  <si>
    <t>Present Value of Profit</t>
  </si>
  <si>
    <t>Total PV of Profit</t>
  </si>
  <si>
    <t>TERM ASSURANCE SENSITIVITY ANALYSIS</t>
  </si>
  <si>
    <t xml:space="preserve">Scenario </t>
  </si>
  <si>
    <t>Change</t>
  </si>
  <si>
    <t>Annual Premium</t>
  </si>
  <si>
    <t>Base Case</t>
  </si>
  <si>
    <t>Interest rate + 1%</t>
  </si>
  <si>
    <t>Interest rate - 1%</t>
  </si>
  <si>
    <t>Expenses + 10%</t>
  </si>
  <si>
    <t>Expenses - 10%</t>
  </si>
  <si>
    <t>Mortality - 10%</t>
  </si>
  <si>
    <t>Mortality + 10%</t>
  </si>
  <si>
    <t>No change</t>
  </si>
  <si>
    <t>PV of Profit</t>
  </si>
  <si>
    <t>PV of Profit (Base Premium)</t>
  </si>
  <si>
    <t>PROJECT OVERVIEW</t>
  </si>
  <si>
    <t>Policy Term</t>
  </si>
  <si>
    <t>Sum Assured</t>
  </si>
  <si>
    <t>KEY RESULTS</t>
  </si>
  <si>
    <t>EPV of Premiums</t>
  </si>
  <si>
    <t>EPV of Claims</t>
  </si>
  <si>
    <t>EPV of Expenses</t>
  </si>
  <si>
    <t>SENSITIVITY ANALYSIS</t>
  </si>
  <si>
    <t>Scenario</t>
  </si>
  <si>
    <t>KEY OBSERVATIONS</t>
  </si>
  <si>
    <t>Higer mortality increases expected claims and reduces the present value of profit.</t>
  </si>
  <si>
    <t>Higher expenses increase the present value of expenses and reduce the present value of profit.</t>
  </si>
  <si>
    <t>Higher interest rate reduces the present value of future cash flows, while ower interest rate increases it.</t>
  </si>
  <si>
    <t>Sensitivity analysis demonstates how changes in key assumptions affect the profitability of the policy.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</si>
</sst>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₹&quot;\ #,##0.00"/>
    <numFmt numFmtId="165" formatCode="&quot;₹&quot;\ #,##0"/>
    <numFmt numFmtId="166" formatCode="0.000000"/>
    <numFmt numFmtId="167" formatCode="0.00000"/>
    <numFmt numFmtId="168" formatCode="0.0%"/>
    <numFmt numFmtId="169" formatCode="&quot;₹&quot;\ #,#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0" fontId="0" fillId="0" borderId="0" xfId="0" applyNumberFormat="1"/>
    <xf numFmtId="0" fontId="2" fillId="2" borderId="0" xfId="0" applyFont="1" applyFill="1"/>
    <xf numFmtId="168" fontId="0" fillId="0" borderId="0" xfId="1" applyNumberFormat="1" applyFont="1"/>
    <xf numFmtId="0" fontId="2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Analysis : Impact on PV of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Dashboard'!$B$22</c:f>
              <c:strCache>
                <c:ptCount val="1"/>
                <c:pt idx="0">
                  <c:v>PV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Dashboard'!$A$23:$A$29</c:f>
              <c:strCache>
                <c:ptCount val="7"/>
                <c:pt idx="0">
                  <c:v>Interest rate - 1%</c:v>
                </c:pt>
                <c:pt idx="1">
                  <c:v>Base Case</c:v>
                </c:pt>
                <c:pt idx="2">
                  <c:v>Interest rate + 1%</c:v>
                </c:pt>
                <c:pt idx="3">
                  <c:v>Mortality - 10%</c:v>
                </c:pt>
                <c:pt idx="4">
                  <c:v>Mortality + 10%</c:v>
                </c:pt>
                <c:pt idx="5">
                  <c:v>Expenses - 10%</c:v>
                </c:pt>
                <c:pt idx="6">
                  <c:v>Expenses + 10%</c:v>
                </c:pt>
              </c:strCache>
            </c:strRef>
          </c:cat>
          <c:val>
            <c:numRef>
              <c:f>'Summary Dashboard'!$B$23:$B$29</c:f>
              <c:numCache>
                <c:formatCode>"₹"\ #,##0.000</c:formatCode>
                <c:ptCount val="7"/>
                <c:pt idx="0">
                  <c:v>20180.827509999999</c:v>
                </c:pt>
                <c:pt idx="1">
                  <c:v>24952.841720449447</c:v>
                </c:pt>
                <c:pt idx="2">
                  <c:v>28752.301670000001</c:v>
                </c:pt>
                <c:pt idx="3">
                  <c:v>42382.338459999999</c:v>
                </c:pt>
                <c:pt idx="4">
                  <c:v>7572.4311660000003</c:v>
                </c:pt>
                <c:pt idx="5">
                  <c:v>27983.76339</c:v>
                </c:pt>
                <c:pt idx="6">
                  <c:v>21921.920050000001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6-4104-A333-8901FDE65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8690144"/>
        <c:axId val="536924912"/>
      </c:barChart>
      <c:catAx>
        <c:axId val="84869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924912"/>
        <c:crosses val="autoZero"/>
        <c:auto val="1"/>
        <c:lblAlgn val="ctr"/>
        <c:lblOffset val="100"/>
        <c:noMultiLvlLbl val="0"/>
      </c:catAx>
      <c:valAx>
        <c:axId val="53692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69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none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19</xdr:row>
      <xdr:rowOff>0</xdr:rowOff>
    </xdr:from>
    <xdr:to>
      <xdr:col>14</xdr:col>
      <xdr:colOff>99060</xdr:colOff>
      <xdr:row>37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DD7F11-1E6B-CCD7-EF4F-C3115F756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EC58-CCAB-4CBB-9C1A-8480740A81D6}">
  <dimension ref="A1:B17"/>
  <sheetViews>
    <sheetView workbookViewId="0">
      <selection sqref="A1:B1"/>
    </sheetView>
  </sheetViews>
  <sheetFormatPr defaultRowHeight="14.4" x14ac:dyDescent="0.3"/>
  <cols>
    <col min="1" max="1" width="53.5546875" customWidth="1"/>
    <col min="2" max="2" width="19.77734375" customWidth="1"/>
  </cols>
  <sheetData>
    <row r="1" spans="1:2" ht="21" x14ac:dyDescent="0.4">
      <c r="A1" s="20" t="s">
        <v>0</v>
      </c>
      <c r="B1" s="20"/>
    </row>
    <row r="3" spans="1:2" x14ac:dyDescent="0.3">
      <c r="A3" s="21" t="s">
        <v>1</v>
      </c>
      <c r="B3" s="21" t="s">
        <v>2</v>
      </c>
    </row>
    <row r="4" spans="1:2" x14ac:dyDescent="0.3">
      <c r="A4" s="7" t="s">
        <v>5</v>
      </c>
      <c r="B4" s="7">
        <v>30</v>
      </c>
    </row>
    <row r="5" spans="1:2" x14ac:dyDescent="0.3">
      <c r="A5" s="7" t="s">
        <v>6</v>
      </c>
      <c r="B5" s="7">
        <v>20</v>
      </c>
    </row>
    <row r="6" spans="1:2" x14ac:dyDescent="0.3">
      <c r="A6" s="7" t="s">
        <v>3</v>
      </c>
      <c r="B6" s="18">
        <v>10000000</v>
      </c>
    </row>
    <row r="7" spans="1:2" x14ac:dyDescent="0.3">
      <c r="A7" s="7" t="s">
        <v>7</v>
      </c>
      <c r="B7" s="7" t="s">
        <v>18</v>
      </c>
    </row>
    <row r="8" spans="1:2" x14ac:dyDescent="0.3">
      <c r="A8" s="7" t="s">
        <v>4</v>
      </c>
      <c r="B8" s="7" t="s">
        <v>19</v>
      </c>
    </row>
    <row r="9" spans="1:2" x14ac:dyDescent="0.3">
      <c r="A9" s="7" t="s">
        <v>8</v>
      </c>
      <c r="B9" s="13">
        <v>7.1099999999999997E-2</v>
      </c>
    </row>
    <row r="10" spans="1:2" x14ac:dyDescent="0.3">
      <c r="A10" s="19" t="s">
        <v>9</v>
      </c>
      <c r="B10" s="13">
        <v>6.5000000000000002E-2</v>
      </c>
    </row>
    <row r="11" spans="1:2" x14ac:dyDescent="0.3">
      <c r="A11" s="7" t="s">
        <v>10</v>
      </c>
      <c r="B11" s="13">
        <v>0.1</v>
      </c>
    </row>
    <row r="12" spans="1:2" x14ac:dyDescent="0.3">
      <c r="A12" s="7" t="s">
        <v>11</v>
      </c>
      <c r="B12" s="18">
        <v>500</v>
      </c>
    </row>
    <row r="13" spans="1:2" x14ac:dyDescent="0.3">
      <c r="A13" s="7" t="s">
        <v>12</v>
      </c>
      <c r="B13" s="18">
        <v>150</v>
      </c>
    </row>
    <row r="14" spans="1:2" x14ac:dyDescent="0.3">
      <c r="A14" s="7" t="s">
        <v>13</v>
      </c>
      <c r="B14" s="13">
        <v>0.05</v>
      </c>
    </row>
    <row r="15" spans="1:2" x14ac:dyDescent="0.3">
      <c r="A15" s="7" t="s">
        <v>15</v>
      </c>
      <c r="B15" s="13">
        <v>0.2</v>
      </c>
    </row>
    <row r="16" spans="1:2" x14ac:dyDescent="0.3">
      <c r="A16" s="7" t="s">
        <v>16</v>
      </c>
      <c r="B16" s="13">
        <v>0.05</v>
      </c>
    </row>
    <row r="17" spans="1:2" x14ac:dyDescent="0.3">
      <c r="A17" s="7" t="s">
        <v>17</v>
      </c>
      <c r="B17" s="13">
        <v>0.1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DCDD-4D89-43F4-8E69-AFB116F02FEE}">
  <dimension ref="A1:E32"/>
  <sheetViews>
    <sheetView tabSelected="1" workbookViewId="0">
      <selection sqref="A1:E1"/>
    </sheetView>
  </sheetViews>
  <sheetFormatPr defaultRowHeight="14.4" x14ac:dyDescent="0.3"/>
  <cols>
    <col min="1" max="1" width="4.21875" bestFit="1" customWidth="1"/>
    <col min="2" max="2" width="11.5546875" bestFit="1" customWidth="1"/>
    <col min="3" max="3" width="16" bestFit="1" customWidth="1"/>
    <col min="4" max="4" width="10" bestFit="1" customWidth="1"/>
    <col min="5" max="5" width="20.109375" bestFit="1" customWidth="1"/>
  </cols>
  <sheetData>
    <row r="1" spans="1:5" x14ac:dyDescent="0.3">
      <c r="A1" s="21" t="s">
        <v>20</v>
      </c>
      <c r="B1" s="21" t="s">
        <v>21</v>
      </c>
      <c r="C1" s="21" t="s">
        <v>10</v>
      </c>
      <c r="D1" s="21" t="s">
        <v>22</v>
      </c>
      <c r="E1" s="21" t="s">
        <v>23</v>
      </c>
    </row>
    <row r="2" spans="1:5" x14ac:dyDescent="0.3">
      <c r="A2" s="7">
        <v>30</v>
      </c>
      <c r="B2" s="16">
        <v>9.77E-4</v>
      </c>
      <c r="C2" s="10">
        <f>Assumptions!$B$11</f>
        <v>0.1</v>
      </c>
      <c r="D2" s="17">
        <f>B2*(1+C2)</f>
        <v>1.0747E-3</v>
      </c>
      <c r="E2" s="7" t="str">
        <f>Assumptions!$B$8</f>
        <v>IALM 2012-14 Ultimate</v>
      </c>
    </row>
    <row r="3" spans="1:5" x14ac:dyDescent="0.3">
      <c r="A3" s="7">
        <v>31</v>
      </c>
      <c r="B3" s="16">
        <v>1.005E-3</v>
      </c>
      <c r="C3" s="10">
        <f>Assumptions!$B$11</f>
        <v>0.1</v>
      </c>
      <c r="D3" s="17">
        <f t="shared" ref="D3:D32" si="0">B3*(1+C3)</f>
        <v>1.1055000000000001E-3</v>
      </c>
      <c r="E3" s="7" t="str">
        <f>Assumptions!$B$8</f>
        <v>IALM 2012-14 Ultimate</v>
      </c>
    </row>
    <row r="4" spans="1:5" x14ac:dyDescent="0.3">
      <c r="A4" s="7">
        <v>32</v>
      </c>
      <c r="B4" s="16">
        <v>1.042E-3</v>
      </c>
      <c r="C4" s="10">
        <f>Assumptions!$B$11</f>
        <v>0.1</v>
      </c>
      <c r="D4" s="17">
        <f t="shared" si="0"/>
        <v>1.1462E-3</v>
      </c>
      <c r="E4" s="7" t="str">
        <f>Assumptions!$B$8</f>
        <v>IALM 2012-14 Ultimate</v>
      </c>
    </row>
    <row r="5" spans="1:5" x14ac:dyDescent="0.3">
      <c r="A5" s="7">
        <v>33</v>
      </c>
      <c r="B5" s="16">
        <v>1.0859999999999999E-3</v>
      </c>
      <c r="C5" s="10">
        <f>Assumptions!$B$11</f>
        <v>0.1</v>
      </c>
      <c r="D5" s="17">
        <f t="shared" si="0"/>
        <v>1.1946000000000001E-3</v>
      </c>
      <c r="E5" s="7" t="str">
        <f>Assumptions!$B$8</f>
        <v>IALM 2012-14 Ultimate</v>
      </c>
    </row>
    <row r="6" spans="1:5" x14ac:dyDescent="0.3">
      <c r="A6" s="7">
        <v>34</v>
      </c>
      <c r="B6" s="16">
        <v>1.14E-3</v>
      </c>
      <c r="C6" s="10">
        <f>Assumptions!$B$11</f>
        <v>0.1</v>
      </c>
      <c r="D6" s="17">
        <f t="shared" si="0"/>
        <v>1.2540000000000001E-3</v>
      </c>
      <c r="E6" s="7" t="str">
        <f>Assumptions!$B$8</f>
        <v>IALM 2012-14 Ultimate</v>
      </c>
    </row>
    <row r="7" spans="1:5" x14ac:dyDescent="0.3">
      <c r="A7" s="7">
        <v>35</v>
      </c>
      <c r="B7" s="16">
        <v>1.2019999999999999E-3</v>
      </c>
      <c r="C7" s="10">
        <f>Assumptions!$B$11</f>
        <v>0.1</v>
      </c>
      <c r="D7" s="17">
        <f t="shared" si="0"/>
        <v>1.3221999999999999E-3</v>
      </c>
      <c r="E7" s="7" t="str">
        <f>Assumptions!$B$8</f>
        <v>IALM 2012-14 Ultimate</v>
      </c>
    </row>
    <row r="8" spans="1:5" x14ac:dyDescent="0.3">
      <c r="A8" s="7">
        <v>36</v>
      </c>
      <c r="B8" s="16">
        <v>1.2750000000000001E-3</v>
      </c>
      <c r="C8" s="10">
        <f>Assumptions!$B$11</f>
        <v>0.1</v>
      </c>
      <c r="D8" s="17">
        <f t="shared" si="0"/>
        <v>1.4025000000000003E-3</v>
      </c>
      <c r="E8" s="7" t="str">
        <f>Assumptions!$B$8</f>
        <v>IALM 2012-14 Ultimate</v>
      </c>
    </row>
    <row r="9" spans="1:5" x14ac:dyDescent="0.3">
      <c r="A9" s="7">
        <v>37</v>
      </c>
      <c r="B9" s="16">
        <v>1.358E-3</v>
      </c>
      <c r="C9" s="10">
        <f>Assumptions!$B$11</f>
        <v>0.1</v>
      </c>
      <c r="D9" s="17">
        <f t="shared" si="0"/>
        <v>1.4938000000000002E-3</v>
      </c>
      <c r="E9" s="7" t="str">
        <f>Assumptions!$B$8</f>
        <v>IALM 2012-14 Ultimate</v>
      </c>
    </row>
    <row r="10" spans="1:5" x14ac:dyDescent="0.3">
      <c r="A10" s="7">
        <v>38</v>
      </c>
      <c r="B10" s="16">
        <v>1.4530000000000001E-3</v>
      </c>
      <c r="C10" s="10">
        <f>Assumptions!$B$11</f>
        <v>0.1</v>
      </c>
      <c r="D10" s="17">
        <f t="shared" si="0"/>
        <v>1.5983000000000002E-3</v>
      </c>
      <c r="E10" s="7" t="str">
        <f>Assumptions!$B$8</f>
        <v>IALM 2012-14 Ultimate</v>
      </c>
    </row>
    <row r="11" spans="1:5" x14ac:dyDescent="0.3">
      <c r="A11" s="7">
        <v>39</v>
      </c>
      <c r="B11" s="16">
        <v>1.56E-3</v>
      </c>
      <c r="C11" s="10">
        <f>Assumptions!$B$11</f>
        <v>0.1</v>
      </c>
      <c r="D11" s="17">
        <f t="shared" si="0"/>
        <v>1.7160000000000001E-3</v>
      </c>
      <c r="E11" s="7" t="str">
        <f>Assumptions!$B$8</f>
        <v>IALM 2012-14 Ultimate</v>
      </c>
    </row>
    <row r="12" spans="1:5" x14ac:dyDescent="0.3">
      <c r="A12" s="7">
        <v>40</v>
      </c>
      <c r="B12" s="16">
        <v>1.6800000000000001E-3</v>
      </c>
      <c r="C12" s="10">
        <f>Assumptions!$B$11</f>
        <v>0.1</v>
      </c>
      <c r="D12" s="17">
        <f t="shared" si="0"/>
        <v>1.8480000000000003E-3</v>
      </c>
      <c r="E12" s="7" t="str">
        <f>Assumptions!$B$8</f>
        <v>IALM 2012-14 Ultimate</v>
      </c>
    </row>
    <row r="13" spans="1:5" x14ac:dyDescent="0.3">
      <c r="A13" s="7">
        <v>41</v>
      </c>
      <c r="B13" s="16">
        <v>1.815E-3</v>
      </c>
      <c r="C13" s="10">
        <f>Assumptions!$B$11</f>
        <v>0.1</v>
      </c>
      <c r="D13" s="17">
        <f t="shared" si="0"/>
        <v>1.9965E-3</v>
      </c>
      <c r="E13" s="7" t="str">
        <f>Assumptions!$B$8</f>
        <v>IALM 2012-14 Ultimate</v>
      </c>
    </row>
    <row r="14" spans="1:5" x14ac:dyDescent="0.3">
      <c r="A14" s="7">
        <v>42</v>
      </c>
      <c r="B14" s="16">
        <v>1.9689999999999998E-3</v>
      </c>
      <c r="C14" s="10">
        <f>Assumptions!$B$11</f>
        <v>0.1</v>
      </c>
      <c r="D14" s="17">
        <f t="shared" si="0"/>
        <v>2.1659000000000001E-3</v>
      </c>
      <c r="E14" s="7" t="str">
        <f>Assumptions!$B$8</f>
        <v>IALM 2012-14 Ultimate</v>
      </c>
    </row>
    <row r="15" spans="1:5" x14ac:dyDescent="0.3">
      <c r="A15" s="7">
        <v>43</v>
      </c>
      <c r="B15" s="16">
        <v>2.1440000000000001E-3</v>
      </c>
      <c r="C15" s="10">
        <f>Assumptions!$B$11</f>
        <v>0.1</v>
      </c>
      <c r="D15" s="17">
        <f t="shared" si="0"/>
        <v>2.3584000000000001E-3</v>
      </c>
      <c r="E15" s="7" t="str">
        <f>Assumptions!$B$8</f>
        <v>IALM 2012-14 Ultimate</v>
      </c>
    </row>
    <row r="16" spans="1:5" x14ac:dyDescent="0.3">
      <c r="A16" s="7">
        <v>44</v>
      </c>
      <c r="B16" s="16">
        <v>2.3449999999999999E-3</v>
      </c>
      <c r="C16" s="10">
        <f>Assumptions!$B$11</f>
        <v>0.1</v>
      </c>
      <c r="D16" s="17">
        <f t="shared" si="0"/>
        <v>2.5795000000000002E-3</v>
      </c>
      <c r="E16" s="7" t="str">
        <f>Assumptions!$B$8</f>
        <v>IALM 2012-14 Ultimate</v>
      </c>
    </row>
    <row r="17" spans="1:5" x14ac:dyDescent="0.3">
      <c r="A17" s="7">
        <v>45</v>
      </c>
      <c r="B17" s="16">
        <v>2.5790000000000001E-3</v>
      </c>
      <c r="C17" s="10">
        <f>Assumptions!$B$11</f>
        <v>0.1</v>
      </c>
      <c r="D17" s="17">
        <f t="shared" si="0"/>
        <v>2.8369000000000003E-3</v>
      </c>
      <c r="E17" s="7" t="str">
        <f>Assumptions!$B$8</f>
        <v>IALM 2012-14 Ultimate</v>
      </c>
    </row>
    <row r="18" spans="1:5" x14ac:dyDescent="0.3">
      <c r="A18" s="7">
        <v>46</v>
      </c>
      <c r="B18" s="16">
        <v>2.8509999999999998E-3</v>
      </c>
      <c r="C18" s="10">
        <f>Assumptions!$B$11</f>
        <v>0.1</v>
      </c>
      <c r="D18" s="17">
        <f t="shared" si="0"/>
        <v>3.1361000000000002E-3</v>
      </c>
      <c r="E18" s="7" t="str">
        <f>Assumptions!$B$8</f>
        <v>IALM 2012-14 Ultimate</v>
      </c>
    </row>
    <row r="19" spans="1:5" x14ac:dyDescent="0.3">
      <c r="A19" s="7">
        <v>47</v>
      </c>
      <c r="B19" s="16">
        <v>3.1679999999999998E-3</v>
      </c>
      <c r="C19" s="10">
        <f>Assumptions!$B$11</f>
        <v>0.1</v>
      </c>
      <c r="D19" s="17">
        <f t="shared" si="0"/>
        <v>3.4848000000000001E-3</v>
      </c>
      <c r="E19" s="7" t="str">
        <f>Assumptions!$B$8</f>
        <v>IALM 2012-14 Ultimate</v>
      </c>
    </row>
    <row r="20" spans="1:5" x14ac:dyDescent="0.3">
      <c r="A20" s="7">
        <v>48</v>
      </c>
      <c r="B20" s="16">
        <v>3.5360000000000001E-3</v>
      </c>
      <c r="C20" s="10">
        <f>Assumptions!$B$11</f>
        <v>0.1</v>
      </c>
      <c r="D20" s="17">
        <f t="shared" si="0"/>
        <v>3.8896000000000004E-3</v>
      </c>
      <c r="E20" s="7" t="str">
        <f>Assumptions!$B$8</f>
        <v>IALM 2012-14 Ultimate</v>
      </c>
    </row>
    <row r="21" spans="1:5" x14ac:dyDescent="0.3">
      <c r="A21" s="7">
        <v>49</v>
      </c>
      <c r="B21" s="16">
        <v>3.9579999999999997E-3</v>
      </c>
      <c r="C21" s="10">
        <f>Assumptions!$B$11</f>
        <v>0.1</v>
      </c>
      <c r="D21" s="17">
        <f t="shared" si="0"/>
        <v>4.3537999999999997E-3</v>
      </c>
      <c r="E21" s="7" t="str">
        <f>Assumptions!$B$8</f>
        <v>IALM 2012-14 Ultimate</v>
      </c>
    </row>
    <row r="22" spans="1:5" x14ac:dyDescent="0.3">
      <c r="A22" s="7">
        <v>50</v>
      </c>
      <c r="B22" s="16">
        <v>4.4359999999999998E-3</v>
      </c>
      <c r="C22" s="10">
        <f>Assumptions!$B$11</f>
        <v>0.1</v>
      </c>
      <c r="D22" s="17">
        <f t="shared" si="0"/>
        <v>4.8796000000000004E-3</v>
      </c>
      <c r="E22" s="7" t="str">
        <f>Assumptions!$B$8</f>
        <v>IALM 2012-14 Ultimate</v>
      </c>
    </row>
    <row r="23" spans="1:5" x14ac:dyDescent="0.3">
      <c r="A23" s="7">
        <v>51</v>
      </c>
      <c r="B23" s="16">
        <v>4.9690000000000003E-3</v>
      </c>
      <c r="C23" s="10">
        <f>Assumptions!$B$11</f>
        <v>0.1</v>
      </c>
      <c r="D23" s="17">
        <f t="shared" si="0"/>
        <v>5.465900000000001E-3</v>
      </c>
      <c r="E23" s="7" t="str">
        <f>Assumptions!$B$8</f>
        <v>IALM 2012-14 Ultimate</v>
      </c>
    </row>
    <row r="24" spans="1:5" x14ac:dyDescent="0.3">
      <c r="A24" s="7">
        <v>52</v>
      </c>
      <c r="B24" s="16">
        <v>5.5500000000000002E-3</v>
      </c>
      <c r="C24" s="10">
        <f>Assumptions!$B$11</f>
        <v>0.1</v>
      </c>
      <c r="D24" s="17">
        <f t="shared" si="0"/>
        <v>6.1050000000000011E-3</v>
      </c>
      <c r="E24" s="7" t="str">
        <f>Assumptions!$B$8</f>
        <v>IALM 2012-14 Ultimate</v>
      </c>
    </row>
    <row r="25" spans="1:5" x14ac:dyDescent="0.3">
      <c r="A25" s="7">
        <v>53</v>
      </c>
      <c r="B25" s="16">
        <v>6.1739999999999998E-3</v>
      </c>
      <c r="C25" s="10">
        <f>Assumptions!$B$11</f>
        <v>0.1</v>
      </c>
      <c r="D25" s="17">
        <f t="shared" si="0"/>
        <v>6.7914000000000004E-3</v>
      </c>
      <c r="E25" s="7" t="str">
        <f>Assumptions!$B$8</f>
        <v>IALM 2012-14 Ultimate</v>
      </c>
    </row>
    <row r="26" spans="1:5" x14ac:dyDescent="0.3">
      <c r="A26" s="7">
        <v>54</v>
      </c>
      <c r="B26" s="16">
        <v>6.8310000000000003E-3</v>
      </c>
      <c r="C26" s="10">
        <f>Assumptions!$B$11</f>
        <v>0.1</v>
      </c>
      <c r="D26" s="17">
        <f t="shared" si="0"/>
        <v>7.514100000000001E-3</v>
      </c>
      <c r="E26" s="7" t="str">
        <f>Assumptions!$B$8</f>
        <v>IALM 2012-14 Ultimate</v>
      </c>
    </row>
    <row r="27" spans="1:5" x14ac:dyDescent="0.3">
      <c r="A27" s="7">
        <v>55</v>
      </c>
      <c r="B27" s="16">
        <v>7.5129999999999997E-3</v>
      </c>
      <c r="C27" s="10">
        <f>Assumptions!$B$11</f>
        <v>0.1</v>
      </c>
      <c r="D27" s="17">
        <f t="shared" si="0"/>
        <v>8.2643000000000005E-3</v>
      </c>
      <c r="E27" s="7" t="str">
        <f>Assumptions!$B$8</f>
        <v>IALM 2012-14 Ultimate</v>
      </c>
    </row>
    <row r="28" spans="1:5" x14ac:dyDescent="0.3">
      <c r="A28" s="7">
        <v>56</v>
      </c>
      <c r="B28" s="16">
        <v>8.2120000000000005E-3</v>
      </c>
      <c r="C28" s="10">
        <f>Assumptions!$B$11</f>
        <v>0.1</v>
      </c>
      <c r="D28" s="17">
        <f t="shared" si="0"/>
        <v>9.0332000000000016E-3</v>
      </c>
      <c r="E28" s="7" t="str">
        <f>Assumptions!$B$8</f>
        <v>IALM 2012-14 Ultimate</v>
      </c>
    </row>
    <row r="29" spans="1:5" x14ac:dyDescent="0.3">
      <c r="A29" s="7">
        <v>57</v>
      </c>
      <c r="B29" s="16">
        <v>8.9250000000000006E-3</v>
      </c>
      <c r="C29" s="10">
        <f>Assumptions!$B$11</f>
        <v>0.1</v>
      </c>
      <c r="D29" s="17">
        <f t="shared" si="0"/>
        <v>9.8175000000000016E-3</v>
      </c>
      <c r="E29" s="7" t="str">
        <f>Assumptions!$B$8</f>
        <v>IALM 2012-14 Ultimate</v>
      </c>
    </row>
    <row r="30" spans="1:5" x14ac:dyDescent="0.3">
      <c r="A30" s="7">
        <v>58</v>
      </c>
      <c r="B30" s="16">
        <v>9.6509999999999999E-3</v>
      </c>
      <c r="C30" s="10">
        <f>Assumptions!$B$11</f>
        <v>0.1</v>
      </c>
      <c r="D30" s="17">
        <f t="shared" si="0"/>
        <v>1.06161E-2</v>
      </c>
      <c r="E30" s="7" t="str">
        <f>Assumptions!$B$8</f>
        <v>IALM 2012-14 Ultimate</v>
      </c>
    </row>
    <row r="31" spans="1:5" x14ac:dyDescent="0.3">
      <c r="A31" s="7">
        <v>59</v>
      </c>
      <c r="B31" s="16">
        <v>1.0392999999999999E-2</v>
      </c>
      <c r="C31" s="10">
        <f>Assumptions!$B$11</f>
        <v>0.1</v>
      </c>
      <c r="D31" s="17">
        <f t="shared" si="0"/>
        <v>1.1432300000000001E-2</v>
      </c>
      <c r="E31" s="7" t="str">
        <f>Assumptions!$B$8</f>
        <v>IALM 2012-14 Ultimate</v>
      </c>
    </row>
    <row r="32" spans="1:5" x14ac:dyDescent="0.3">
      <c r="A32" s="7">
        <v>60</v>
      </c>
      <c r="B32" s="16">
        <v>1.1162E-2</v>
      </c>
      <c r="C32" s="10">
        <f>Assumptions!$B$11</f>
        <v>0.1</v>
      </c>
      <c r="D32" s="17">
        <f t="shared" si="0"/>
        <v>1.2278200000000001E-2</v>
      </c>
      <c r="E32" s="7" t="str">
        <f>Assumptions!$B$8</f>
        <v>IALM 2012-14 Ultimate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B94B-38BF-4769-9B6B-D337DD2A24F4}">
  <dimension ref="A1:G25"/>
  <sheetViews>
    <sheetView workbookViewId="0">
      <selection sqref="A1:B1"/>
    </sheetView>
  </sheetViews>
  <sheetFormatPr defaultRowHeight="14.4" x14ac:dyDescent="0.3"/>
  <cols>
    <col min="1" max="1" width="23.6640625" customWidth="1"/>
    <col min="2" max="2" width="38.109375" customWidth="1"/>
    <col min="4" max="4" width="27.21875" bestFit="1" customWidth="1"/>
    <col min="5" max="5" width="15.109375" bestFit="1" customWidth="1"/>
    <col min="6" max="6" width="13.6640625" bestFit="1" customWidth="1"/>
    <col min="7" max="7" width="25.21875" bestFit="1" customWidth="1"/>
  </cols>
  <sheetData>
    <row r="1" spans="1:7" ht="21" x14ac:dyDescent="0.4">
      <c r="A1" s="20" t="s">
        <v>24</v>
      </c>
      <c r="B1" s="20"/>
    </row>
    <row r="3" spans="1:7" x14ac:dyDescent="0.3">
      <c r="A3" s="21" t="s">
        <v>25</v>
      </c>
      <c r="B3" s="21" t="s">
        <v>20</v>
      </c>
      <c r="C3" s="21" t="s">
        <v>22</v>
      </c>
      <c r="D3" s="21" t="s">
        <v>26</v>
      </c>
      <c r="E3" s="21" t="s">
        <v>27</v>
      </c>
      <c r="F3" s="21" t="s">
        <v>28</v>
      </c>
      <c r="G3" s="21" t="s">
        <v>29</v>
      </c>
    </row>
    <row r="4" spans="1:7" x14ac:dyDescent="0.3">
      <c r="A4" s="7">
        <v>1</v>
      </c>
      <c r="B4" s="7">
        <f>Mortality!A2</f>
        <v>30</v>
      </c>
      <c r="C4" s="7">
        <f>Mortality!D2</f>
        <v>1.0747E-3</v>
      </c>
      <c r="D4" s="7">
        <v>1</v>
      </c>
      <c r="E4" s="7">
        <f>D4*C4</f>
        <v>1.0747E-3</v>
      </c>
      <c r="F4" s="7">
        <f>(1+Assumptions!$B$10)^-'Expected Claims'!A4</f>
        <v>0.93896713615023475</v>
      </c>
      <c r="G4" s="7">
        <f>F4*E4*Assumptions!$B$6</f>
        <v>10091.079812206573</v>
      </c>
    </row>
    <row r="5" spans="1:7" x14ac:dyDescent="0.3">
      <c r="A5" s="7">
        <v>2</v>
      </c>
      <c r="B5" s="7">
        <f>Mortality!A3</f>
        <v>31</v>
      </c>
      <c r="C5" s="7">
        <f>Mortality!D3</f>
        <v>1.1055000000000001E-3</v>
      </c>
      <c r="D5" s="7">
        <f>D4*(1-C4)</f>
        <v>0.99892530000000002</v>
      </c>
      <c r="E5" s="7">
        <f t="shared" ref="E5:E23" si="0">D5*C5</f>
        <v>1.1043119191500002E-3</v>
      </c>
      <c r="F5" s="7">
        <f>(1+Assumptions!$B$10)^-'Expected Claims'!A5</f>
        <v>0.88165928277017358</v>
      </c>
      <c r="G5" s="7">
        <f>F5*E5*Assumptions!$B$6</f>
        <v>9736.2685459234308</v>
      </c>
    </row>
    <row r="6" spans="1:7" x14ac:dyDescent="0.3">
      <c r="A6" s="7">
        <v>3</v>
      </c>
      <c r="B6" s="7">
        <f>Mortality!A4</f>
        <v>32</v>
      </c>
      <c r="C6" s="7">
        <f>Mortality!D4</f>
        <v>1.1462E-3</v>
      </c>
      <c r="D6" s="7">
        <f t="shared" ref="D6:D23" si="1">D5*(1-C5)</f>
        <v>0.99782098808085007</v>
      </c>
      <c r="E6" s="7">
        <f t="shared" si="0"/>
        <v>1.1437024165382704E-3</v>
      </c>
      <c r="F6" s="7">
        <f>(1+Assumptions!$B$10)^-'Expected Claims'!A6</f>
        <v>0.82784909180297994</v>
      </c>
      <c r="G6" s="7">
        <f>F6*E6*Assumptions!$B$6</f>
        <v>9468.1300682408055</v>
      </c>
    </row>
    <row r="7" spans="1:7" x14ac:dyDescent="0.3">
      <c r="A7" s="7">
        <v>4</v>
      </c>
      <c r="B7" s="7">
        <f>Mortality!A5</f>
        <v>33</v>
      </c>
      <c r="C7" s="7">
        <f>Mortality!D5</f>
        <v>1.1946000000000001E-3</v>
      </c>
      <c r="D7" s="7">
        <f t="shared" si="1"/>
        <v>0.9966772856643118</v>
      </c>
      <c r="E7" s="7">
        <f t="shared" si="0"/>
        <v>1.190630685454587E-3</v>
      </c>
      <c r="F7" s="7">
        <f>(1+Assumptions!$B$10)^-'Expected Claims'!A7</f>
        <v>0.77732309089481699</v>
      </c>
      <c r="G7" s="7">
        <f>F7*E7*Assumptions!$B$6</f>
        <v>9255.0472453177408</v>
      </c>
    </row>
    <row r="8" spans="1:7" x14ac:dyDescent="0.3">
      <c r="A8" s="7">
        <v>5</v>
      </c>
      <c r="B8" s="7">
        <f>Mortality!A6</f>
        <v>34</v>
      </c>
      <c r="C8" s="7">
        <f>Mortality!D6</f>
        <v>1.2540000000000001E-3</v>
      </c>
      <c r="D8" s="7">
        <f t="shared" si="1"/>
        <v>0.99548665497885713</v>
      </c>
      <c r="E8" s="7">
        <f t="shared" si="0"/>
        <v>1.2483402653434869E-3</v>
      </c>
      <c r="F8" s="7">
        <f>(1+Assumptions!$B$10)^-'Expected Claims'!A8</f>
        <v>0.72988083652095492</v>
      </c>
      <c r="G8" s="7">
        <f>F8*E8*Assumptions!$B$6</f>
        <v>9111.3963713169505</v>
      </c>
    </row>
    <row r="9" spans="1:7" x14ac:dyDescent="0.3">
      <c r="A9" s="7">
        <v>6</v>
      </c>
      <c r="B9" s="7">
        <f>Mortality!A7</f>
        <v>35</v>
      </c>
      <c r="C9" s="7">
        <f>Mortality!D7</f>
        <v>1.3221999999999999E-3</v>
      </c>
      <c r="D9" s="7">
        <f t="shared" si="1"/>
        <v>0.99423831471351365</v>
      </c>
      <c r="E9" s="7">
        <f t="shared" si="0"/>
        <v>1.3145818997142076E-3</v>
      </c>
      <c r="F9" s="7">
        <f>(1+Assumptions!$B$10)^-'Expected Claims'!A9</f>
        <v>0.68533411879901873</v>
      </c>
      <c r="G9" s="7">
        <f>F9*E9*Assumptions!$B$6</f>
        <v>9009.2782782977647</v>
      </c>
    </row>
    <row r="10" spans="1:7" x14ac:dyDescent="0.3">
      <c r="A10" s="7">
        <v>7</v>
      </c>
      <c r="B10" s="7">
        <f>Mortality!A8</f>
        <v>36</v>
      </c>
      <c r="C10" s="7">
        <f>Mortality!D8</f>
        <v>1.4025000000000003E-3</v>
      </c>
      <c r="D10" s="7">
        <f t="shared" si="1"/>
        <v>0.99292373281379942</v>
      </c>
      <c r="E10" s="7">
        <f t="shared" si="0"/>
        <v>1.392575535271354E-3</v>
      </c>
      <c r="F10" s="7">
        <f>(1+Assumptions!$B$10)^-'Expected Claims'!A10</f>
        <v>0.64350621483475945</v>
      </c>
      <c r="G10" s="7">
        <f>F10*E10*Assumptions!$B$6</f>
        <v>8961.3101157395795</v>
      </c>
    </row>
    <row r="11" spans="1:7" x14ac:dyDescent="0.3">
      <c r="A11" s="7">
        <v>8</v>
      </c>
      <c r="B11" s="7">
        <f>Mortality!A9</f>
        <v>37</v>
      </c>
      <c r="C11" s="7">
        <f>Mortality!D9</f>
        <v>1.4938000000000002E-3</v>
      </c>
      <c r="D11" s="7">
        <f t="shared" si="1"/>
        <v>0.99153115727852814</v>
      </c>
      <c r="E11" s="7">
        <f t="shared" si="0"/>
        <v>1.4811492427426656E-3</v>
      </c>
      <c r="F11" s="7">
        <f>(1+Assumptions!$B$10)^-'Expected Claims'!A11</f>
        <v>0.60423118763827188</v>
      </c>
      <c r="G11" s="7">
        <f>F11*E11*Assumptions!$B$6</f>
        <v>8949.5656601192786</v>
      </c>
    </row>
    <row r="12" spans="1:7" x14ac:dyDescent="0.3">
      <c r="A12" s="7">
        <v>9</v>
      </c>
      <c r="B12" s="7">
        <f>Mortality!A10</f>
        <v>38</v>
      </c>
      <c r="C12" s="7">
        <f>Mortality!D10</f>
        <v>1.5983000000000002E-3</v>
      </c>
      <c r="D12" s="7">
        <f t="shared" si="1"/>
        <v>0.99005000803578547</v>
      </c>
      <c r="E12" s="7">
        <f t="shared" si="0"/>
        <v>1.582396927843596E-3</v>
      </c>
      <c r="F12" s="7">
        <f>(1+Assumptions!$B$10)^-'Expected Claims'!A12</f>
        <v>0.56735322782936326</v>
      </c>
      <c r="G12" s="7">
        <f>F12*E12*Assumptions!$B$6</f>
        <v>8977.7800471933224</v>
      </c>
    </row>
    <row r="13" spans="1:7" x14ac:dyDescent="0.3">
      <c r="A13" s="7">
        <v>10</v>
      </c>
      <c r="B13" s="7">
        <f>Mortality!A11</f>
        <v>39</v>
      </c>
      <c r="C13" s="7">
        <f>Mortality!D11</f>
        <v>1.7160000000000001E-3</v>
      </c>
      <c r="D13" s="7">
        <f t="shared" si="1"/>
        <v>0.98846761110794179</v>
      </c>
      <c r="E13" s="7">
        <f t="shared" si="0"/>
        <v>1.6962104206612282E-3</v>
      </c>
      <c r="F13" s="7">
        <f>(1+Assumptions!$B$10)^-'Expected Claims'!A13</f>
        <v>0.53272603552052888</v>
      </c>
      <c r="G13" s="7">
        <f>F13*E13*Assumptions!$B$6</f>
        <v>9036.1545280746468</v>
      </c>
    </row>
    <row r="14" spans="1:7" x14ac:dyDescent="0.3">
      <c r="A14" s="7">
        <v>11</v>
      </c>
      <c r="B14" s="7">
        <f>Mortality!A12</f>
        <v>40</v>
      </c>
      <c r="C14" s="7">
        <f>Mortality!D12</f>
        <v>1.8480000000000003E-3</v>
      </c>
      <c r="D14" s="7">
        <f t="shared" si="1"/>
        <v>0.98677140068728053</v>
      </c>
      <c r="E14" s="7">
        <f t="shared" si="0"/>
        <v>1.8235535484700948E-3</v>
      </c>
      <c r="F14" s="7">
        <f>(1+Assumptions!$B$10)^-'Expected Claims'!A14</f>
        <v>0.50021223992537933</v>
      </c>
      <c r="G14" s="7">
        <f>F14*E14*Assumptions!$B$6</f>
        <v>9121.6380510409999</v>
      </c>
    </row>
    <row r="15" spans="1:7" x14ac:dyDescent="0.3">
      <c r="A15" s="7">
        <v>12</v>
      </c>
      <c r="B15" s="7">
        <f>Mortality!A13</f>
        <v>41</v>
      </c>
      <c r="C15" s="7">
        <f>Mortality!D13</f>
        <v>1.9965E-3</v>
      </c>
      <c r="D15" s="7">
        <f t="shared" si="1"/>
        <v>0.98494784713881045</v>
      </c>
      <c r="E15" s="7">
        <f t="shared" si="0"/>
        <v>1.9664483768126349E-3</v>
      </c>
      <c r="F15" s="7">
        <f>(1+Assumptions!$B$10)^-'Expected Claims'!A15</f>
        <v>0.4696828543900276</v>
      </c>
      <c r="G15" s="7">
        <f>F15*E15*Assumptions!$B$6</f>
        <v>9236.0708663199493</v>
      </c>
    </row>
    <row r="16" spans="1:7" x14ac:dyDescent="0.3">
      <c r="A16" s="7">
        <v>13</v>
      </c>
      <c r="B16" s="7">
        <f>Mortality!A14</f>
        <v>42</v>
      </c>
      <c r="C16" s="7">
        <f>Mortality!D14</f>
        <v>2.1659000000000001E-3</v>
      </c>
      <c r="D16" s="7">
        <f t="shared" si="1"/>
        <v>0.98298139876199786</v>
      </c>
      <c r="E16" s="7">
        <f t="shared" si="0"/>
        <v>2.1290394115786111E-3</v>
      </c>
      <c r="F16" s="7">
        <f>(1+Assumptions!$B$10)^-'Expected Claims'!A16</f>
        <v>0.44101676468547191</v>
      </c>
      <c r="G16" s="7">
        <f>F16*E16*Assumptions!$B$6</f>
        <v>9389.4207318225999</v>
      </c>
    </row>
    <row r="17" spans="1:7" x14ac:dyDescent="0.3">
      <c r="A17" s="7">
        <v>14</v>
      </c>
      <c r="B17" s="7">
        <f>Mortality!A15</f>
        <v>43</v>
      </c>
      <c r="C17" s="7">
        <f>Mortality!D15</f>
        <v>2.3584000000000001E-3</v>
      </c>
      <c r="D17" s="7">
        <f t="shared" si="1"/>
        <v>0.98085235935041915</v>
      </c>
      <c r="E17" s="7">
        <f t="shared" si="0"/>
        <v>2.3132422042920287E-3</v>
      </c>
      <c r="F17" s="7">
        <f>(1+Assumptions!$B$10)^-'Expected Claims'!A17</f>
        <v>0.41410024853095956</v>
      </c>
      <c r="G17" s="7">
        <f>F17*E17*Assumptions!$B$6</f>
        <v>9579.1417170963377</v>
      </c>
    </row>
    <row r="18" spans="1:7" x14ac:dyDescent="0.3">
      <c r="A18" s="7">
        <v>15</v>
      </c>
      <c r="B18" s="7">
        <f>Mortality!A16</f>
        <v>44</v>
      </c>
      <c r="C18" s="7">
        <f>Mortality!D16</f>
        <v>2.5795000000000002E-3</v>
      </c>
      <c r="D18" s="7">
        <f t="shared" si="1"/>
        <v>0.97853911714612718</v>
      </c>
      <c r="E18" s="7">
        <f t="shared" si="0"/>
        <v>2.5241416526784353E-3</v>
      </c>
      <c r="F18" s="7">
        <f>(1+Assumptions!$B$10)^-'Expected Claims'!A18</f>
        <v>0.38882652444221566</v>
      </c>
      <c r="G18" s="7">
        <f>F18*E18*Assumptions!$B$6</f>
        <v>9814.5322601078624</v>
      </c>
    </row>
    <row r="19" spans="1:7" x14ac:dyDescent="0.3">
      <c r="A19" s="7">
        <v>16</v>
      </c>
      <c r="B19" s="7">
        <f>Mortality!A17</f>
        <v>45</v>
      </c>
      <c r="C19" s="7">
        <f>Mortality!D17</f>
        <v>2.8369000000000003E-3</v>
      </c>
      <c r="D19" s="7">
        <f t="shared" si="1"/>
        <v>0.97601497549344873</v>
      </c>
      <c r="E19" s="7">
        <f t="shared" si="0"/>
        <v>2.7688568839773649E-3</v>
      </c>
      <c r="F19" s="7">
        <f>(1+Assumptions!$B$10)^-'Expected Claims'!A19</f>
        <v>0.36509532811475648</v>
      </c>
      <c r="G19" s="7">
        <f>F19*E19*Assumptions!$B$6</f>
        <v>10108.967125585183</v>
      </c>
    </row>
    <row r="20" spans="1:7" x14ac:dyDescent="0.3">
      <c r="A20" s="7">
        <v>17</v>
      </c>
      <c r="B20" s="7">
        <f>Mortality!A18</f>
        <v>46</v>
      </c>
      <c r="C20" s="7">
        <f>Mortality!D18</f>
        <v>3.1361000000000002E-3</v>
      </c>
      <c r="D20" s="7">
        <f t="shared" si="1"/>
        <v>0.9732461186094713</v>
      </c>
      <c r="E20" s="7">
        <f t="shared" si="0"/>
        <v>3.0521971525711632E-3</v>
      </c>
      <c r="F20" s="7">
        <f>(1+Assumptions!$B$10)^-'Expected Claims'!A20</f>
        <v>0.34281251466174323</v>
      </c>
      <c r="G20" s="7">
        <f>F20*E20*Assumptions!$B$6</f>
        <v>10463.313811163329</v>
      </c>
    </row>
    <row r="21" spans="1:7" x14ac:dyDescent="0.3">
      <c r="A21" s="7">
        <v>18</v>
      </c>
      <c r="B21" s="7">
        <f>Mortality!A19</f>
        <v>47</v>
      </c>
      <c r="C21" s="7">
        <f>Mortality!D19</f>
        <v>3.4848000000000001E-3</v>
      </c>
      <c r="D21" s="7">
        <f t="shared" si="1"/>
        <v>0.9701939214569002</v>
      </c>
      <c r="E21" s="7">
        <f t="shared" si="0"/>
        <v>3.380931777493006E-3</v>
      </c>
      <c r="F21" s="7">
        <f>(1+Assumptions!$B$10)^-'Expected Claims'!A21</f>
        <v>0.32188968512839738</v>
      </c>
      <c r="G21" s="7">
        <f>F21*E21*Assumptions!$B$6</f>
        <v>10882.870652978165</v>
      </c>
    </row>
    <row r="22" spans="1:7" x14ac:dyDescent="0.3">
      <c r="A22" s="7">
        <v>19</v>
      </c>
      <c r="B22" s="7">
        <f>Mortality!A20</f>
        <v>48</v>
      </c>
      <c r="C22" s="7">
        <f>Mortality!D20</f>
        <v>3.8896000000000004E-3</v>
      </c>
      <c r="D22" s="7">
        <f t="shared" si="1"/>
        <v>0.96681298967940721</v>
      </c>
      <c r="E22" s="7">
        <f t="shared" si="0"/>
        <v>3.7605158046570227E-3</v>
      </c>
      <c r="F22" s="7">
        <f>(1+Assumptions!$B$10)^-'Expected Claims'!A22</f>
        <v>0.30224383580131214</v>
      </c>
      <c r="G22" s="7">
        <f>F22*E22*Assumptions!$B$6</f>
        <v>11365.927213909965</v>
      </c>
    </row>
    <row r="23" spans="1:7" x14ac:dyDescent="0.3">
      <c r="A23" s="7">
        <v>20</v>
      </c>
      <c r="B23" s="7">
        <f>Mortality!A21</f>
        <v>49</v>
      </c>
      <c r="C23" s="7">
        <f>Mortality!D21</f>
        <v>4.3537999999999997E-3</v>
      </c>
      <c r="D23" s="7">
        <f t="shared" si="1"/>
        <v>0.96305247387475013</v>
      </c>
      <c r="E23" s="7">
        <f t="shared" si="0"/>
        <v>4.1929378607558866E-3</v>
      </c>
      <c r="F23" s="7">
        <f>(1+Assumptions!$B$10)^-'Expected Claims'!A23</f>
        <v>0.28379702892141989</v>
      </c>
      <c r="G23" s="7">
        <f>F23*E23*Assumptions!$B$6</f>
        <v>11899.433073346549</v>
      </c>
    </row>
    <row r="25" spans="1:7" x14ac:dyDescent="0.3">
      <c r="G25" s="14">
        <f>SUM(G4:G23)</f>
        <v>194457.32617580105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8AC85-B999-4F00-AF2F-762ECC511B1D}">
  <dimension ref="A1:N34"/>
  <sheetViews>
    <sheetView zoomScaleNormal="100" workbookViewId="0">
      <selection activeCell="B34" sqref="B34"/>
    </sheetView>
  </sheetViews>
  <sheetFormatPr defaultRowHeight="14.4" x14ac:dyDescent="0.3"/>
  <cols>
    <col min="1" max="1" width="48.21875" customWidth="1"/>
    <col min="2" max="2" width="15.5546875" customWidth="1"/>
    <col min="3" max="4" width="16.44140625" bestFit="1" customWidth="1"/>
    <col min="5" max="6" width="23.88671875" bestFit="1" customWidth="1"/>
    <col min="7" max="9" width="25.88671875" bestFit="1" customWidth="1"/>
    <col min="10" max="10" width="19.33203125" bestFit="1" customWidth="1"/>
    <col min="11" max="12" width="25.88671875" bestFit="1" customWidth="1"/>
    <col min="13" max="13" width="33.33203125" bestFit="1" customWidth="1"/>
    <col min="14" max="14" width="18.88671875" bestFit="1" customWidth="1"/>
  </cols>
  <sheetData>
    <row r="1" spans="1:14" ht="21" x14ac:dyDescent="0.4">
      <c r="A1" s="20" t="s">
        <v>24</v>
      </c>
      <c r="B1" s="20"/>
    </row>
    <row r="3" spans="1:14" x14ac:dyDescent="0.3">
      <c r="A3" s="21" t="s">
        <v>30</v>
      </c>
      <c r="B3" s="21" t="s">
        <v>20</v>
      </c>
      <c r="C3" s="21" t="s">
        <v>31</v>
      </c>
      <c r="D3" s="21" t="s">
        <v>32</v>
      </c>
      <c r="E3" s="21" t="s">
        <v>33</v>
      </c>
      <c r="F3" s="21" t="s">
        <v>34</v>
      </c>
      <c r="G3" s="21" t="s">
        <v>13</v>
      </c>
      <c r="H3" s="21" t="s">
        <v>14</v>
      </c>
      <c r="I3" s="21" t="s">
        <v>35</v>
      </c>
      <c r="J3" s="21" t="s">
        <v>36</v>
      </c>
      <c r="K3" s="21" t="s">
        <v>37</v>
      </c>
      <c r="L3" s="21" t="s">
        <v>38</v>
      </c>
      <c r="M3" s="21" t="s">
        <v>40</v>
      </c>
      <c r="N3" s="21" t="s">
        <v>43</v>
      </c>
    </row>
    <row r="4" spans="1:14" x14ac:dyDescent="0.3">
      <c r="A4" s="7">
        <v>1</v>
      </c>
      <c r="B4" s="7">
        <f>Mortality!A2</f>
        <v>30</v>
      </c>
      <c r="C4" s="7">
        <f>'Expected Claims'!D4</f>
        <v>1</v>
      </c>
      <c r="D4" s="15">
        <f>(1+Assumptions!$B$10)^-(A4-1)</f>
        <v>1</v>
      </c>
      <c r="E4" s="7">
        <f>Assumptions!B12</f>
        <v>500</v>
      </c>
      <c r="F4" s="7">
        <v>0</v>
      </c>
      <c r="G4" s="13">
        <f>Assumptions!$B$14</f>
        <v>0.05</v>
      </c>
      <c r="H4" s="13">
        <f>Assumptions!$B$15</f>
        <v>0.2</v>
      </c>
      <c r="I4" s="7">
        <v>0</v>
      </c>
      <c r="J4" s="7">
        <f>E4+F4</f>
        <v>500</v>
      </c>
      <c r="K4" s="13">
        <f>G4+H4+I4</f>
        <v>0.25</v>
      </c>
      <c r="L4" s="7">
        <f>C4*D4</f>
        <v>1</v>
      </c>
      <c r="M4" s="7">
        <f>L4*K4</f>
        <v>0.25</v>
      </c>
      <c r="N4" s="7">
        <f>J4*C4*D4</f>
        <v>500</v>
      </c>
    </row>
    <row r="5" spans="1:14" x14ac:dyDescent="0.3">
      <c r="A5" s="7">
        <v>2</v>
      </c>
      <c r="B5" s="7">
        <f>Mortality!A3</f>
        <v>31</v>
      </c>
      <c r="C5" s="7">
        <f>'Expected Claims'!D5</f>
        <v>0.99892530000000002</v>
      </c>
      <c r="D5" s="15">
        <f>(1+Assumptions!$B$10)^-(A5-1)</f>
        <v>0.93896713615023475</v>
      </c>
      <c r="E5" s="7">
        <v>0</v>
      </c>
      <c r="F5" s="7">
        <f>Assumptions!$B$13</f>
        <v>150</v>
      </c>
      <c r="G5" s="13">
        <f>Assumptions!$B$14</f>
        <v>0.05</v>
      </c>
      <c r="H5" s="7">
        <v>0</v>
      </c>
      <c r="I5" s="13">
        <f>Assumptions!$B$16</f>
        <v>0.05</v>
      </c>
      <c r="J5" s="7">
        <f t="shared" ref="J5:J23" si="0">E5+F5</f>
        <v>150</v>
      </c>
      <c r="K5" s="13">
        <f t="shared" ref="K5:K23" si="1">G5+H5+I5</f>
        <v>0.1</v>
      </c>
      <c r="L5" s="7">
        <f t="shared" ref="L5:L23" si="2">C5*D5</f>
        <v>0.93795802816901408</v>
      </c>
      <c r="M5" s="7">
        <f t="shared" ref="M5:M23" si="3">L5*K5</f>
        <v>9.3795802816901419E-2</v>
      </c>
      <c r="N5" s="7">
        <f t="shared" ref="N5:N23" si="4">J5*C5*D5</f>
        <v>140.69370422535212</v>
      </c>
    </row>
    <row r="6" spans="1:14" x14ac:dyDescent="0.3">
      <c r="A6" s="7">
        <v>3</v>
      </c>
      <c r="B6" s="7">
        <f>Mortality!A4</f>
        <v>32</v>
      </c>
      <c r="C6" s="7">
        <f>'Expected Claims'!D6</f>
        <v>0.99782098808085007</v>
      </c>
      <c r="D6" s="15">
        <f>(1+Assumptions!$B$10)^-(A6-1)</f>
        <v>0.88165928277017358</v>
      </c>
      <c r="E6" s="7">
        <v>0</v>
      </c>
      <c r="F6" s="7">
        <f>Assumptions!$B$13</f>
        <v>150</v>
      </c>
      <c r="G6" s="13">
        <f>Assumptions!$B$14</f>
        <v>0.05</v>
      </c>
      <c r="H6" s="7">
        <v>0</v>
      </c>
      <c r="I6" s="13">
        <f>Assumptions!$B$16</f>
        <v>0.05</v>
      </c>
      <c r="J6" s="7">
        <f t="shared" si="0"/>
        <v>150</v>
      </c>
      <c r="K6" s="13">
        <f t="shared" si="1"/>
        <v>0.1</v>
      </c>
      <c r="L6" s="7">
        <f t="shared" si="2"/>
        <v>0.87973813668438816</v>
      </c>
      <c r="M6" s="7">
        <f t="shared" si="3"/>
        <v>8.7973813668438816E-2</v>
      </c>
      <c r="N6" s="7">
        <f t="shared" si="4"/>
        <v>131.96072050265823</v>
      </c>
    </row>
    <row r="7" spans="1:14" x14ac:dyDescent="0.3">
      <c r="A7" s="7">
        <v>4</v>
      </c>
      <c r="B7" s="7">
        <f>Mortality!A5</f>
        <v>33</v>
      </c>
      <c r="C7" s="7">
        <f>'Expected Claims'!D7</f>
        <v>0.9966772856643118</v>
      </c>
      <c r="D7" s="15">
        <f>(1+Assumptions!$B$10)^-(A7-1)</f>
        <v>0.82784909180297994</v>
      </c>
      <c r="E7" s="7">
        <v>0</v>
      </c>
      <c r="F7" s="7">
        <f>Assumptions!$B$13</f>
        <v>150</v>
      </c>
      <c r="G7" s="13">
        <f>Assumptions!$B$14</f>
        <v>0.05</v>
      </c>
      <c r="H7" s="7">
        <v>0</v>
      </c>
      <c r="I7" s="13">
        <f>Assumptions!$B$16</f>
        <v>0.05</v>
      </c>
      <c r="J7" s="7">
        <f t="shared" si="0"/>
        <v>150</v>
      </c>
      <c r="K7" s="13">
        <f t="shared" si="1"/>
        <v>0.1</v>
      </c>
      <c r="L7" s="7">
        <f t="shared" si="2"/>
        <v>0.82509838575785976</v>
      </c>
      <c r="M7" s="7">
        <f t="shared" si="3"/>
        <v>8.2509838575785976E-2</v>
      </c>
      <c r="N7" s="7">
        <f t="shared" si="4"/>
        <v>123.76475786367897</v>
      </c>
    </row>
    <row r="8" spans="1:14" x14ac:dyDescent="0.3">
      <c r="A8" s="7">
        <v>5</v>
      </c>
      <c r="B8" s="7">
        <f>Mortality!A6</f>
        <v>34</v>
      </c>
      <c r="C8" s="7">
        <f>'Expected Claims'!D8</f>
        <v>0.99548665497885713</v>
      </c>
      <c r="D8" s="15">
        <f>(1+Assumptions!$B$10)^-(A8-1)</f>
        <v>0.77732309089481699</v>
      </c>
      <c r="E8" s="7">
        <v>0</v>
      </c>
      <c r="F8" s="7">
        <f>Assumptions!$B$13</f>
        <v>150</v>
      </c>
      <c r="G8" s="13">
        <f>Assumptions!$B$14</f>
        <v>0.05</v>
      </c>
      <c r="H8" s="7">
        <v>0</v>
      </c>
      <c r="I8" s="13">
        <f>Assumptions!$B$16</f>
        <v>0.05</v>
      </c>
      <c r="J8" s="7">
        <f t="shared" si="0"/>
        <v>150</v>
      </c>
      <c r="K8" s="13">
        <f t="shared" si="1"/>
        <v>0.1</v>
      </c>
      <c r="L8" s="7">
        <f t="shared" si="2"/>
        <v>0.77381476359270751</v>
      </c>
      <c r="M8" s="7">
        <f t="shared" si="3"/>
        <v>7.7381476359270757E-2</v>
      </c>
      <c r="N8" s="7">
        <f t="shared" si="4"/>
        <v>116.07221453890612</v>
      </c>
    </row>
    <row r="9" spans="1:14" x14ac:dyDescent="0.3">
      <c r="A9" s="7">
        <v>6</v>
      </c>
      <c r="B9" s="7">
        <f>Mortality!A7</f>
        <v>35</v>
      </c>
      <c r="C9" s="7">
        <f>'Expected Claims'!D9</f>
        <v>0.99423831471351365</v>
      </c>
      <c r="D9" s="15">
        <f>(1+Assumptions!$B$10)^-(A9-1)</f>
        <v>0.72988083652095492</v>
      </c>
      <c r="E9" s="7">
        <v>0</v>
      </c>
      <c r="F9" s="7">
        <f>Assumptions!$B$13</f>
        <v>150</v>
      </c>
      <c r="G9" s="13">
        <f>Assumptions!$B$14</f>
        <v>0.05</v>
      </c>
      <c r="H9" s="7">
        <v>0</v>
      </c>
      <c r="I9" s="13">
        <f>Assumptions!$B$16</f>
        <v>0.05</v>
      </c>
      <c r="J9" s="7">
        <f t="shared" si="0"/>
        <v>150</v>
      </c>
      <c r="K9" s="13">
        <f t="shared" si="1"/>
        <v>0.1</v>
      </c>
      <c r="L9" s="7">
        <f t="shared" si="2"/>
        <v>0.72567549284428379</v>
      </c>
      <c r="M9" s="7">
        <f t="shared" si="3"/>
        <v>7.2567549284428379E-2</v>
      </c>
      <c r="N9" s="7">
        <f t="shared" si="4"/>
        <v>108.85132392664256</v>
      </c>
    </row>
    <row r="10" spans="1:14" x14ac:dyDescent="0.3">
      <c r="A10" s="7">
        <v>7</v>
      </c>
      <c r="B10" s="7">
        <f>Mortality!A8</f>
        <v>36</v>
      </c>
      <c r="C10" s="7">
        <f>'Expected Claims'!D10</f>
        <v>0.99292373281379942</v>
      </c>
      <c r="D10" s="15">
        <f>(1+Assumptions!$B$10)^-(A10-1)</f>
        <v>0.68533411879901873</v>
      </c>
      <c r="E10" s="7">
        <v>0</v>
      </c>
      <c r="F10" s="7">
        <f>Assumptions!$B$13</f>
        <v>150</v>
      </c>
      <c r="G10" s="13">
        <f>Assumptions!$B$14</f>
        <v>0.05</v>
      </c>
      <c r="H10" s="7">
        <v>0</v>
      </c>
      <c r="I10" s="13">
        <f>Assumptions!$B$16</f>
        <v>0.05</v>
      </c>
      <c r="J10" s="7">
        <f t="shared" si="0"/>
        <v>150</v>
      </c>
      <c r="K10" s="13">
        <f t="shared" si="1"/>
        <v>0.1</v>
      </c>
      <c r="L10" s="7">
        <f t="shared" si="2"/>
        <v>0.68048451146257749</v>
      </c>
      <c r="M10" s="7">
        <f t="shared" si="3"/>
        <v>6.8048451146257752E-2</v>
      </c>
      <c r="N10" s="7">
        <f t="shared" si="4"/>
        <v>102.07267671938664</v>
      </c>
    </row>
    <row r="11" spans="1:14" x14ac:dyDescent="0.3">
      <c r="A11" s="7">
        <v>8</v>
      </c>
      <c r="B11" s="7">
        <f>Mortality!A9</f>
        <v>37</v>
      </c>
      <c r="C11" s="7">
        <f>'Expected Claims'!D11</f>
        <v>0.99153115727852814</v>
      </c>
      <c r="D11" s="15">
        <f>(1+Assumptions!$B$10)^-(A11-1)</f>
        <v>0.64350621483475945</v>
      </c>
      <c r="E11" s="7">
        <v>0</v>
      </c>
      <c r="F11" s="7">
        <f>Assumptions!$B$13</f>
        <v>150</v>
      </c>
      <c r="G11" s="13">
        <f>Assumptions!$B$14</f>
        <v>0.05</v>
      </c>
      <c r="H11" s="7">
        <v>0</v>
      </c>
      <c r="I11" s="13">
        <f>Assumptions!$B$16</f>
        <v>0.05</v>
      </c>
      <c r="J11" s="7">
        <f t="shared" si="0"/>
        <v>150</v>
      </c>
      <c r="K11" s="13">
        <f t="shared" si="1"/>
        <v>0.1</v>
      </c>
      <c r="L11" s="7">
        <f t="shared" si="2"/>
        <v>0.63805646191103416</v>
      </c>
      <c r="M11" s="7">
        <f t="shared" si="3"/>
        <v>6.3805646191103418E-2</v>
      </c>
      <c r="N11" s="7">
        <f t="shared" si="4"/>
        <v>95.708469286655131</v>
      </c>
    </row>
    <row r="12" spans="1:14" x14ac:dyDescent="0.3">
      <c r="A12" s="7">
        <v>9</v>
      </c>
      <c r="B12" s="7">
        <f>Mortality!A10</f>
        <v>38</v>
      </c>
      <c r="C12" s="7">
        <f>'Expected Claims'!D12</f>
        <v>0.99005000803578547</v>
      </c>
      <c r="D12" s="15">
        <f>(1+Assumptions!$B$10)^-(A12-1)</f>
        <v>0.60423118763827188</v>
      </c>
      <c r="E12" s="7">
        <v>0</v>
      </c>
      <c r="F12" s="7">
        <f>Assumptions!$B$13</f>
        <v>150</v>
      </c>
      <c r="G12" s="13">
        <f>Assumptions!$B$14</f>
        <v>0.05</v>
      </c>
      <c r="H12" s="7">
        <v>0</v>
      </c>
      <c r="I12" s="13">
        <f>Assumptions!$B$16</f>
        <v>0.05</v>
      </c>
      <c r="J12" s="7">
        <f t="shared" si="0"/>
        <v>150</v>
      </c>
      <c r="K12" s="13">
        <f t="shared" si="1"/>
        <v>0.1</v>
      </c>
      <c r="L12" s="7">
        <f t="shared" si="2"/>
        <v>0.59821909217674329</v>
      </c>
      <c r="M12" s="7">
        <f t="shared" si="3"/>
        <v>5.9821909217674329E-2</v>
      </c>
      <c r="N12" s="7">
        <f t="shared" si="4"/>
        <v>89.73286382651149</v>
      </c>
    </row>
    <row r="13" spans="1:14" x14ac:dyDescent="0.3">
      <c r="A13" s="7">
        <v>10</v>
      </c>
      <c r="B13" s="7">
        <f>Mortality!A11</f>
        <v>39</v>
      </c>
      <c r="C13" s="7">
        <f>'Expected Claims'!D13</f>
        <v>0.98846761110794179</v>
      </c>
      <c r="D13" s="15">
        <f>(1+Assumptions!$B$10)^-(A13-1)</f>
        <v>0.56735322782936326</v>
      </c>
      <c r="E13" s="7">
        <v>0</v>
      </c>
      <c r="F13" s="7">
        <f>Assumptions!$B$13</f>
        <v>150</v>
      </c>
      <c r="G13" s="13">
        <f>Assumptions!$B$14</f>
        <v>0.05</v>
      </c>
      <c r="H13" s="7">
        <v>0</v>
      </c>
      <c r="I13" s="13">
        <f>Assumptions!$B$16</f>
        <v>0.05</v>
      </c>
      <c r="J13" s="7">
        <f t="shared" si="0"/>
        <v>150</v>
      </c>
      <c r="K13" s="13">
        <f t="shared" si="1"/>
        <v>0.1</v>
      </c>
      <c r="L13" s="7">
        <f t="shared" si="2"/>
        <v>0.56081028976687053</v>
      </c>
      <c r="M13" s="7">
        <f t="shared" si="3"/>
        <v>5.6081028976687056E-2</v>
      </c>
      <c r="N13" s="7">
        <f t="shared" si="4"/>
        <v>84.121543465030584</v>
      </c>
    </row>
    <row r="14" spans="1:14" x14ac:dyDescent="0.3">
      <c r="A14" s="7">
        <v>11</v>
      </c>
      <c r="B14" s="7">
        <f>Mortality!A12</f>
        <v>40</v>
      </c>
      <c r="C14" s="7">
        <f>'Expected Claims'!D14</f>
        <v>0.98677140068728053</v>
      </c>
      <c r="D14" s="15">
        <f>(1+Assumptions!$B$10)^-(A14-1)</f>
        <v>0.53272603552052888</v>
      </c>
      <c r="E14" s="7">
        <v>0</v>
      </c>
      <c r="F14" s="7">
        <f>Assumptions!$B$13</f>
        <v>150</v>
      </c>
      <c r="G14" s="13">
        <f>Assumptions!$B$14</f>
        <v>0.05</v>
      </c>
      <c r="H14" s="7">
        <v>0</v>
      </c>
      <c r="I14" s="13">
        <f>Assumptions!$B$16</f>
        <v>0.05</v>
      </c>
      <c r="J14" s="7">
        <f t="shared" si="0"/>
        <v>150</v>
      </c>
      <c r="K14" s="13">
        <f t="shared" si="1"/>
        <v>0.1</v>
      </c>
      <c r="L14" s="7">
        <f t="shared" si="2"/>
        <v>0.52567881625317425</v>
      </c>
      <c r="M14" s="7">
        <f t="shared" si="3"/>
        <v>5.2567881625317427E-2</v>
      </c>
      <c r="N14" s="7">
        <f t="shared" si="4"/>
        <v>78.851822437976139</v>
      </c>
    </row>
    <row r="15" spans="1:14" x14ac:dyDescent="0.3">
      <c r="A15" s="7">
        <v>12</v>
      </c>
      <c r="B15" s="7">
        <f>Mortality!A13</f>
        <v>41</v>
      </c>
      <c r="C15" s="7">
        <f>'Expected Claims'!D15</f>
        <v>0.98494784713881045</v>
      </c>
      <c r="D15" s="15">
        <f>(1+Assumptions!$B$10)^-(A15-1)</f>
        <v>0.50021223992537933</v>
      </c>
      <c r="E15" s="7">
        <v>0</v>
      </c>
      <c r="F15" s="7">
        <f>Assumptions!$B$13</f>
        <v>150</v>
      </c>
      <c r="G15" s="13">
        <f>Assumptions!$B$14</f>
        <v>0.05</v>
      </c>
      <c r="H15" s="7">
        <v>0</v>
      </c>
      <c r="I15" s="13">
        <f>Assumptions!$B$16</f>
        <v>0.05</v>
      </c>
      <c r="J15" s="7">
        <f t="shared" si="0"/>
        <v>150</v>
      </c>
      <c r="K15" s="13">
        <f t="shared" si="1"/>
        <v>0.1</v>
      </c>
      <c r="L15" s="7">
        <f t="shared" si="2"/>
        <v>0.49268296882698448</v>
      </c>
      <c r="M15" s="7">
        <f t="shared" si="3"/>
        <v>4.9268296882698452E-2</v>
      </c>
      <c r="N15" s="7">
        <f t="shared" si="4"/>
        <v>73.902445324047662</v>
      </c>
    </row>
    <row r="16" spans="1:14" x14ac:dyDescent="0.3">
      <c r="A16" s="7">
        <v>13</v>
      </c>
      <c r="B16" s="7">
        <f>Mortality!A14</f>
        <v>42</v>
      </c>
      <c r="C16" s="7">
        <f>'Expected Claims'!D16</f>
        <v>0.98298139876199786</v>
      </c>
      <c r="D16" s="15">
        <f>(1+Assumptions!$B$10)^-(A16-1)</f>
        <v>0.4696828543900276</v>
      </c>
      <c r="E16" s="7">
        <v>0</v>
      </c>
      <c r="F16" s="7">
        <f>Assumptions!$B$13</f>
        <v>150</v>
      </c>
      <c r="G16" s="13">
        <f>Assumptions!$B$14</f>
        <v>0.05</v>
      </c>
      <c r="H16" s="7">
        <v>0</v>
      </c>
      <c r="I16" s="13">
        <f>Assumptions!$B$16</f>
        <v>0.05</v>
      </c>
      <c r="J16" s="7">
        <f t="shared" si="0"/>
        <v>150</v>
      </c>
      <c r="K16" s="13">
        <f t="shared" si="1"/>
        <v>0.1</v>
      </c>
      <c r="L16" s="7">
        <f t="shared" si="2"/>
        <v>0.46168950918283708</v>
      </c>
      <c r="M16" s="7">
        <f t="shared" si="3"/>
        <v>4.6168950918283713E-2</v>
      </c>
      <c r="N16" s="7">
        <f t="shared" si="4"/>
        <v>69.253426377425555</v>
      </c>
    </row>
    <row r="17" spans="1:14" x14ac:dyDescent="0.3">
      <c r="A17" s="7">
        <v>14</v>
      </c>
      <c r="B17" s="7">
        <f>Mortality!A15</f>
        <v>43</v>
      </c>
      <c r="C17" s="7">
        <f>'Expected Claims'!D17</f>
        <v>0.98085235935041915</v>
      </c>
      <c r="D17" s="15">
        <f>(1+Assumptions!$B$10)^-(A17-1)</f>
        <v>0.44101676468547191</v>
      </c>
      <c r="E17" s="7">
        <v>0</v>
      </c>
      <c r="F17" s="7">
        <f>Assumptions!$B$13</f>
        <v>150</v>
      </c>
      <c r="G17" s="13">
        <f>Assumptions!$B$14</f>
        <v>0.05</v>
      </c>
      <c r="H17" s="7">
        <v>0</v>
      </c>
      <c r="I17" s="13">
        <f>Assumptions!$B$16</f>
        <v>0.05</v>
      </c>
      <c r="J17" s="7">
        <f t="shared" si="0"/>
        <v>150</v>
      </c>
      <c r="K17" s="13">
        <f t="shared" si="1"/>
        <v>0.1</v>
      </c>
      <c r="L17" s="7">
        <f t="shared" si="2"/>
        <v>0.4325723341548337</v>
      </c>
      <c r="M17" s="7">
        <f t="shared" si="3"/>
        <v>4.3257233415483376E-2</v>
      </c>
      <c r="N17" s="7">
        <f t="shared" si="4"/>
        <v>64.885850123225055</v>
      </c>
    </row>
    <row r="18" spans="1:14" x14ac:dyDescent="0.3">
      <c r="A18" s="7">
        <v>15</v>
      </c>
      <c r="B18" s="7">
        <f>Mortality!A16</f>
        <v>44</v>
      </c>
      <c r="C18" s="7">
        <f>'Expected Claims'!D18</f>
        <v>0.97853911714612718</v>
      </c>
      <c r="D18" s="15">
        <f>(1+Assumptions!$B$10)^-(A18-1)</f>
        <v>0.41410024853095956</v>
      </c>
      <c r="E18" s="7">
        <v>0</v>
      </c>
      <c r="F18" s="7">
        <f>Assumptions!$B$13</f>
        <v>150</v>
      </c>
      <c r="G18" s="13">
        <f>Assumptions!$B$14</f>
        <v>0.05</v>
      </c>
      <c r="H18" s="7">
        <v>0</v>
      </c>
      <c r="I18" s="13">
        <f>Assumptions!$B$16</f>
        <v>0.05</v>
      </c>
      <c r="J18" s="7">
        <f t="shared" si="0"/>
        <v>150</v>
      </c>
      <c r="K18" s="13">
        <f t="shared" si="1"/>
        <v>0.1</v>
      </c>
      <c r="L18" s="7">
        <f t="shared" si="2"/>
        <v>0.40521329160747699</v>
      </c>
      <c r="M18" s="7">
        <f t="shared" si="3"/>
        <v>4.0521329160747702E-2</v>
      </c>
      <c r="N18" s="7">
        <f t="shared" si="4"/>
        <v>60.781993741121561</v>
      </c>
    </row>
    <row r="19" spans="1:14" x14ac:dyDescent="0.3">
      <c r="A19" s="7">
        <v>16</v>
      </c>
      <c r="B19" s="7">
        <f>Mortality!A17</f>
        <v>45</v>
      </c>
      <c r="C19" s="7">
        <f>'Expected Claims'!D19</f>
        <v>0.97601497549344873</v>
      </c>
      <c r="D19" s="15">
        <f>(1+Assumptions!$B$10)^-(A19-1)</f>
        <v>0.38882652444221566</v>
      </c>
      <c r="E19" s="7">
        <v>0</v>
      </c>
      <c r="F19" s="7">
        <f>Assumptions!$B$13</f>
        <v>150</v>
      </c>
      <c r="G19" s="13">
        <f>Assumptions!$B$14</f>
        <v>0.05</v>
      </c>
      <c r="H19" s="7">
        <v>0</v>
      </c>
      <c r="I19" s="13">
        <f>Assumptions!$B$16</f>
        <v>0.05</v>
      </c>
      <c r="J19" s="7">
        <f t="shared" si="0"/>
        <v>150</v>
      </c>
      <c r="K19" s="13">
        <f t="shared" si="1"/>
        <v>0.1</v>
      </c>
      <c r="L19" s="7">
        <f t="shared" si="2"/>
        <v>0.37950051072467195</v>
      </c>
      <c r="M19" s="7">
        <f t="shared" si="3"/>
        <v>3.7950051072467197E-2</v>
      </c>
      <c r="N19" s="7">
        <f t="shared" si="4"/>
        <v>56.925076608700792</v>
      </c>
    </row>
    <row r="20" spans="1:14" x14ac:dyDescent="0.3">
      <c r="A20" s="7">
        <v>17</v>
      </c>
      <c r="B20" s="7">
        <f>Mortality!A18</f>
        <v>46</v>
      </c>
      <c r="C20" s="7">
        <f>'Expected Claims'!D20</f>
        <v>0.9732461186094713</v>
      </c>
      <c r="D20" s="15">
        <f>(1+Assumptions!$B$10)^-(A20-1)</f>
        <v>0.36509532811475648</v>
      </c>
      <c r="E20" s="7">
        <v>0</v>
      </c>
      <c r="F20" s="7">
        <f>Assumptions!$B$13</f>
        <v>150</v>
      </c>
      <c r="G20" s="13">
        <f>Assumptions!$B$14</f>
        <v>0.05</v>
      </c>
      <c r="H20" s="7">
        <v>0</v>
      </c>
      <c r="I20" s="13">
        <f>Assumptions!$B$16</f>
        <v>0.05</v>
      </c>
      <c r="J20" s="7">
        <f t="shared" si="0"/>
        <v>150</v>
      </c>
      <c r="K20" s="13">
        <f t="shared" si="1"/>
        <v>0.1</v>
      </c>
      <c r="L20" s="7">
        <f t="shared" si="2"/>
        <v>0.3553276110101381</v>
      </c>
      <c r="M20" s="7">
        <f t="shared" si="3"/>
        <v>3.5532761101013811E-2</v>
      </c>
      <c r="N20" s="7">
        <f t="shared" si="4"/>
        <v>53.299141651520721</v>
      </c>
    </row>
    <row r="21" spans="1:14" x14ac:dyDescent="0.3">
      <c r="A21" s="7">
        <v>18</v>
      </c>
      <c r="B21" s="7">
        <f>Mortality!A19</f>
        <v>47</v>
      </c>
      <c r="C21" s="7">
        <f>'Expected Claims'!D21</f>
        <v>0.9701939214569002</v>
      </c>
      <c r="D21" s="15">
        <f>(1+Assumptions!$B$10)^-(A21-1)</f>
        <v>0.34281251466174323</v>
      </c>
      <c r="E21" s="7">
        <v>0</v>
      </c>
      <c r="F21" s="7">
        <f>Assumptions!$B$13</f>
        <v>150</v>
      </c>
      <c r="G21" s="13">
        <f>Assumptions!$B$14</f>
        <v>0.05</v>
      </c>
      <c r="H21" s="7">
        <v>0</v>
      </c>
      <c r="I21" s="13">
        <f>Assumptions!$B$16</f>
        <v>0.05</v>
      </c>
      <c r="J21" s="7">
        <f t="shared" si="0"/>
        <v>150</v>
      </c>
      <c r="K21" s="13">
        <f t="shared" si="1"/>
        <v>0.1</v>
      </c>
      <c r="L21" s="7">
        <f t="shared" si="2"/>
        <v>0.33259461792417777</v>
      </c>
      <c r="M21" s="7">
        <f t="shared" si="3"/>
        <v>3.3259461792417781E-2</v>
      </c>
      <c r="N21" s="7">
        <f t="shared" si="4"/>
        <v>49.889192688626665</v>
      </c>
    </row>
    <row r="22" spans="1:14" x14ac:dyDescent="0.3">
      <c r="A22" s="7">
        <v>19</v>
      </c>
      <c r="B22" s="7">
        <f>Mortality!A20</f>
        <v>48</v>
      </c>
      <c r="C22" s="7">
        <f>'Expected Claims'!D22</f>
        <v>0.96681298967940721</v>
      </c>
      <c r="D22" s="15">
        <f>(1+Assumptions!$B$10)^-(A22-1)</f>
        <v>0.32188968512839738</v>
      </c>
      <c r="E22" s="7">
        <v>0</v>
      </c>
      <c r="F22" s="7">
        <f>Assumptions!$B$13</f>
        <v>150</v>
      </c>
      <c r="G22" s="13">
        <f>Assumptions!$B$14</f>
        <v>0.05</v>
      </c>
      <c r="H22" s="7">
        <v>0</v>
      </c>
      <c r="I22" s="13">
        <f>Assumptions!$B$16</f>
        <v>0.05</v>
      </c>
      <c r="J22" s="7">
        <f t="shared" si="0"/>
        <v>150</v>
      </c>
      <c r="K22" s="13">
        <f t="shared" si="1"/>
        <v>0.1</v>
      </c>
      <c r="L22" s="7">
        <f t="shared" si="2"/>
        <v>0.31120712882594892</v>
      </c>
      <c r="M22" s="7">
        <f t="shared" si="3"/>
        <v>3.1120712882594895E-2</v>
      </c>
      <c r="N22" s="7">
        <f t="shared" si="4"/>
        <v>46.681069323892331</v>
      </c>
    </row>
    <row r="23" spans="1:14" x14ac:dyDescent="0.3">
      <c r="A23" s="7">
        <v>20</v>
      </c>
      <c r="B23" s="7">
        <f>Mortality!A21</f>
        <v>49</v>
      </c>
      <c r="C23" s="7">
        <f>'Expected Claims'!D23</f>
        <v>0.96305247387475013</v>
      </c>
      <c r="D23" s="15">
        <f>(1+Assumptions!$B$10)^-(A23-1)</f>
        <v>0.30224383580131214</v>
      </c>
      <c r="E23" s="7">
        <v>0</v>
      </c>
      <c r="F23" s="7">
        <f>Assumptions!$B$13</f>
        <v>150</v>
      </c>
      <c r="G23" s="13">
        <f>Assumptions!$B$14</f>
        <v>0.05</v>
      </c>
      <c r="H23" s="7">
        <v>0</v>
      </c>
      <c r="I23" s="13">
        <f>Assumptions!$B$16</f>
        <v>0.05</v>
      </c>
      <c r="J23" s="7">
        <f t="shared" si="0"/>
        <v>150</v>
      </c>
      <c r="K23" s="13">
        <f t="shared" si="1"/>
        <v>0.1</v>
      </c>
      <c r="L23" s="7">
        <f t="shared" si="2"/>
        <v>0.29107667378184743</v>
      </c>
      <c r="M23" s="7">
        <f t="shared" si="3"/>
        <v>2.9107667378184744E-2</v>
      </c>
      <c r="N23" s="7">
        <f t="shared" si="4"/>
        <v>43.661501067277115</v>
      </c>
    </row>
    <row r="25" spans="1:14" x14ac:dyDescent="0.3">
      <c r="A25" t="s">
        <v>39</v>
      </c>
      <c r="L25">
        <f>SUM(L4:L23)</f>
        <v>11.607398624657568</v>
      </c>
    </row>
    <row r="26" spans="1:14" x14ac:dyDescent="0.3">
      <c r="A26" t="s">
        <v>41</v>
      </c>
      <c r="M26">
        <f>SUM(M4:M23)</f>
        <v>1.3107398624657576</v>
      </c>
    </row>
    <row r="27" spans="1:14" x14ac:dyDescent="0.3">
      <c r="A27" t="s">
        <v>42</v>
      </c>
      <c r="N27">
        <f>SUM(N4:N23)</f>
        <v>2091.1097936986353</v>
      </c>
    </row>
    <row r="29" spans="1:14" x14ac:dyDescent="0.3">
      <c r="A29" t="s">
        <v>44</v>
      </c>
      <c r="B29">
        <f>'Expected Claims'!G25</f>
        <v>194457.32617580105</v>
      </c>
    </row>
    <row r="30" spans="1:14" x14ac:dyDescent="0.3">
      <c r="A30" t="s">
        <v>42</v>
      </c>
      <c r="B30">
        <f>N27</f>
        <v>2091.1097936986353</v>
      </c>
    </row>
    <row r="31" spans="1:14" x14ac:dyDescent="0.3">
      <c r="A31" t="s">
        <v>39</v>
      </c>
      <c r="B31">
        <f>L25</f>
        <v>11.607398624657568</v>
      </c>
    </row>
    <row r="32" spans="1:14" x14ac:dyDescent="0.3">
      <c r="A32" t="s">
        <v>41</v>
      </c>
      <c r="B32">
        <f>M26</f>
        <v>1.3107398624657576</v>
      </c>
    </row>
    <row r="33" spans="1:2" x14ac:dyDescent="0.3">
      <c r="A33" t="s">
        <v>45</v>
      </c>
      <c r="B33" s="1">
        <f>Assumptions!$B$17</f>
        <v>0.1</v>
      </c>
    </row>
    <row r="34" spans="1:2" x14ac:dyDescent="0.3">
      <c r="A34" s="4" t="s">
        <v>46</v>
      </c>
      <c r="B34" s="2">
        <f>(B29+B30)/(B31-B32-(B31*B33))</f>
        <v>21513.811377571808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E33D-B42B-4B1C-A166-CAF8EC23A3AE}">
  <dimension ref="A1:P32"/>
  <sheetViews>
    <sheetView topLeftCell="A22" workbookViewId="0">
      <selection sqref="A1:B1"/>
    </sheetView>
  </sheetViews>
  <sheetFormatPr defaultRowHeight="14.4" x14ac:dyDescent="0.3"/>
  <cols>
    <col min="1" max="1" width="27.109375" customWidth="1"/>
    <col min="2" max="2" width="20.88671875" customWidth="1"/>
    <col min="3" max="3" width="16.44140625" bestFit="1" customWidth="1"/>
    <col min="5" max="5" width="15.109375" bestFit="1" customWidth="1"/>
    <col min="6" max="6" width="20.33203125" bestFit="1" customWidth="1"/>
    <col min="7" max="7" width="17.21875" bestFit="1" customWidth="1"/>
    <col min="8" max="8" width="15.21875" bestFit="1" customWidth="1"/>
    <col min="9" max="9" width="14.88671875" bestFit="1" customWidth="1"/>
    <col min="10" max="10" width="19.33203125" bestFit="1" customWidth="1"/>
    <col min="11" max="11" width="18.5546875" bestFit="1" customWidth="1"/>
    <col min="12" max="12" width="13.21875" bestFit="1" customWidth="1"/>
    <col min="13" max="13" width="16.6640625" bestFit="1" customWidth="1"/>
    <col min="15" max="15" width="13.88671875" bestFit="1" customWidth="1"/>
    <col min="16" max="16" width="19.5546875" bestFit="1" customWidth="1"/>
  </cols>
  <sheetData>
    <row r="1" spans="1:16" ht="21" x14ac:dyDescent="0.4">
      <c r="A1" s="20" t="s">
        <v>47</v>
      </c>
      <c r="B1" s="20"/>
    </row>
    <row r="3" spans="1:16" x14ac:dyDescent="0.3">
      <c r="A3" s="21" t="s">
        <v>25</v>
      </c>
      <c r="B3" s="21" t="s">
        <v>20</v>
      </c>
      <c r="C3" s="21" t="s">
        <v>31</v>
      </c>
      <c r="D3" s="21" t="s">
        <v>48</v>
      </c>
      <c r="E3" s="21" t="s">
        <v>27</v>
      </c>
      <c r="F3" s="21" t="s">
        <v>49</v>
      </c>
      <c r="G3" s="21" t="s">
        <v>33</v>
      </c>
      <c r="H3" s="21" t="s">
        <v>34</v>
      </c>
      <c r="I3" s="21" t="s">
        <v>50</v>
      </c>
      <c r="J3" s="21" t="s">
        <v>14</v>
      </c>
      <c r="K3" s="21" t="s">
        <v>35</v>
      </c>
      <c r="L3" s="21" t="s">
        <v>51</v>
      </c>
      <c r="M3" s="21" t="s">
        <v>52</v>
      </c>
      <c r="N3" s="21" t="s">
        <v>53</v>
      </c>
      <c r="O3" s="21" t="s">
        <v>32</v>
      </c>
      <c r="P3" s="21" t="s">
        <v>54</v>
      </c>
    </row>
    <row r="4" spans="1:16" x14ac:dyDescent="0.3">
      <c r="A4" s="7">
        <v>1</v>
      </c>
      <c r="B4" s="7">
        <f>Mortality!A2</f>
        <v>30</v>
      </c>
      <c r="C4" s="7">
        <f>'Expected Claims'!D4</f>
        <v>1</v>
      </c>
      <c r="D4" s="7">
        <v>21513.811377571808</v>
      </c>
      <c r="E4" s="7">
        <f>'Expected Claims'!E4</f>
        <v>1.0747E-3</v>
      </c>
      <c r="F4" s="7">
        <f>E4*Assumptions!$B$6</f>
        <v>10747</v>
      </c>
      <c r="G4" s="7">
        <f>'Premium Calculation'!E4</f>
        <v>500</v>
      </c>
      <c r="H4" s="7">
        <f>'Premium Calculation'!F4</f>
        <v>0</v>
      </c>
      <c r="I4" s="7">
        <f>D4*'Premium Calculation'!G4</f>
        <v>1075.6905688785905</v>
      </c>
      <c r="J4" s="7">
        <f>D4*'Premium Calculation'!H4</f>
        <v>4302.762275514362</v>
      </c>
      <c r="K4" s="7">
        <f>D4*'Premium Calculation'!I4</f>
        <v>0</v>
      </c>
      <c r="L4" s="7">
        <f>SUM(G4:K4)</f>
        <v>5878.4528443929521</v>
      </c>
      <c r="M4" s="7">
        <f>(D4-L4)*Assumptions!$B$10</f>
        <v>1016.2983046566256</v>
      </c>
      <c r="N4" s="7">
        <f>D4+M4-L4-F4</f>
        <v>5904.6568378354823</v>
      </c>
      <c r="O4" s="7">
        <f>(1+Assumptions!$B$10)^-'Profit Testing'!A4</f>
        <v>0.93896713615023475</v>
      </c>
      <c r="P4" s="7">
        <f>N4*O4</f>
        <v>5544.2787209722837</v>
      </c>
    </row>
    <row r="5" spans="1:16" x14ac:dyDescent="0.3">
      <c r="A5" s="7">
        <v>2</v>
      </c>
      <c r="B5" s="7">
        <f>Mortality!A3</f>
        <v>31</v>
      </c>
      <c r="C5" s="7">
        <f>'Expected Claims'!D5</f>
        <v>0.99892530000000002</v>
      </c>
      <c r="D5" s="7">
        <v>21490.690484484334</v>
      </c>
      <c r="E5" s="7">
        <f>'Expected Claims'!E5</f>
        <v>1.1043119191500002E-3</v>
      </c>
      <c r="F5" s="7">
        <f>E5*Assumptions!$B$6</f>
        <v>11043.119191500002</v>
      </c>
      <c r="G5" s="7">
        <f>'Premium Calculation'!E5</f>
        <v>0</v>
      </c>
      <c r="H5" s="7">
        <f>'Premium Calculation'!F5</f>
        <v>150</v>
      </c>
      <c r="I5" s="7">
        <f>D5*'Premium Calculation'!G5</f>
        <v>1074.5345242242167</v>
      </c>
      <c r="J5" s="7">
        <f>D5*'Premium Calculation'!H5</f>
        <v>0</v>
      </c>
      <c r="K5" s="7">
        <f>D5*'Premium Calculation'!I5</f>
        <v>1074.5345242242167</v>
      </c>
      <c r="L5" s="7">
        <f t="shared" ref="L5:L23" si="0">SUM(G5:K5)</f>
        <v>2299.0690484484335</v>
      </c>
      <c r="M5" s="7">
        <f>(D5-L5)*Assumptions!$B$10</f>
        <v>1247.4553933423335</v>
      </c>
      <c r="N5" s="7">
        <f t="shared" ref="N5:N23" si="1">D5+M5-L5-F5</f>
        <v>9395.9576378782331</v>
      </c>
      <c r="O5" s="7">
        <f>(1+Assumptions!$B$10)^-'Profit Testing'!A5</f>
        <v>0.88165928277017358</v>
      </c>
      <c r="P5" s="7">
        <f t="shared" ref="P5:P23" si="2">N5*O5</f>
        <v>8284.0332719506569</v>
      </c>
    </row>
    <row r="6" spans="1:16" x14ac:dyDescent="0.3">
      <c r="A6" s="7">
        <v>3</v>
      </c>
      <c r="B6" s="7">
        <f>Mortality!A4</f>
        <v>32</v>
      </c>
      <c r="C6" s="7">
        <f>'Expected Claims'!D6</f>
        <v>0.99782098808085007</v>
      </c>
      <c r="D6" s="7">
        <v>21466.932526153734</v>
      </c>
      <c r="E6" s="7">
        <f>'Expected Claims'!E6</f>
        <v>1.1437024165382704E-3</v>
      </c>
      <c r="F6" s="7">
        <f>E6*Assumptions!$B$6</f>
        <v>11437.024165382703</v>
      </c>
      <c r="G6" s="7">
        <f>'Premium Calculation'!E6</f>
        <v>0</v>
      </c>
      <c r="H6" s="7">
        <f>'Premium Calculation'!F6</f>
        <v>150</v>
      </c>
      <c r="I6" s="7">
        <f>D6*'Premium Calculation'!G6</f>
        <v>1073.3466263076868</v>
      </c>
      <c r="J6" s="7">
        <f>D6*'Premium Calculation'!H6</f>
        <v>0</v>
      </c>
      <c r="K6" s="7">
        <f>D6*'Premium Calculation'!I6</f>
        <v>1073.3466263076868</v>
      </c>
      <c r="L6" s="7">
        <f t="shared" si="0"/>
        <v>2296.6932526153737</v>
      </c>
      <c r="M6" s="7">
        <f>(D6-L6)*Assumptions!$B$10</f>
        <v>1246.0655527799936</v>
      </c>
      <c r="N6" s="7">
        <f t="shared" si="1"/>
        <v>8979.2806609356521</v>
      </c>
      <c r="O6" s="7">
        <f>(1+Assumptions!$B$10)^-'Profit Testing'!A6</f>
        <v>0.82784909180297994</v>
      </c>
      <c r="P6" s="7">
        <f t="shared" si="2"/>
        <v>7433.4893401996414</v>
      </c>
    </row>
    <row r="7" spans="1:16" x14ac:dyDescent="0.3">
      <c r="A7" s="7">
        <v>4</v>
      </c>
      <c r="B7" s="7">
        <f>Mortality!A5</f>
        <v>33</v>
      </c>
      <c r="C7" s="7">
        <f>'Expected Claims'!D7</f>
        <v>0.9966772856643118</v>
      </c>
      <c r="D7" s="7">
        <v>21442.32712809226</v>
      </c>
      <c r="E7" s="7">
        <f>'Expected Claims'!E7</f>
        <v>1.190630685454587E-3</v>
      </c>
      <c r="F7" s="7">
        <f>E7*Assumptions!$B$6</f>
        <v>11906.30685454587</v>
      </c>
      <c r="G7" s="7">
        <f>'Premium Calculation'!E7</f>
        <v>0</v>
      </c>
      <c r="H7" s="7">
        <f>'Premium Calculation'!F7</f>
        <v>150</v>
      </c>
      <c r="I7" s="7">
        <f>D7*'Premium Calculation'!G7</f>
        <v>1072.116356404613</v>
      </c>
      <c r="J7" s="7">
        <f>D7*'Premium Calculation'!H7</f>
        <v>0</v>
      </c>
      <c r="K7" s="7">
        <f>D7*'Premium Calculation'!I7</f>
        <v>1072.116356404613</v>
      </c>
      <c r="L7" s="7">
        <f t="shared" si="0"/>
        <v>2294.2327128092261</v>
      </c>
      <c r="M7" s="7">
        <f>(D7-L7)*Assumptions!$B$10</f>
        <v>1244.6261369933973</v>
      </c>
      <c r="N7" s="7">
        <f t="shared" si="1"/>
        <v>8486.4136977305607</v>
      </c>
      <c r="O7" s="7">
        <f>(1+Assumptions!$B$10)^-'Profit Testing'!A7</f>
        <v>0.77732309089481699</v>
      </c>
      <c r="P7" s="7">
        <f t="shared" si="2"/>
        <v>6596.685326132033</v>
      </c>
    </row>
    <row r="8" spans="1:16" x14ac:dyDescent="0.3">
      <c r="A8" s="7">
        <v>5</v>
      </c>
      <c r="B8" s="7">
        <f>Mortality!A6</f>
        <v>34</v>
      </c>
      <c r="C8" s="7">
        <f>'Expected Claims'!D8</f>
        <v>0.99548665497885713</v>
      </c>
      <c r="D8" s="7">
        <v>21416.712124105037</v>
      </c>
      <c r="E8" s="7">
        <f>'Expected Claims'!E8</f>
        <v>1.2483402653434869E-3</v>
      </c>
      <c r="F8" s="7">
        <f>E8*Assumptions!$B$6</f>
        <v>12483.402653434869</v>
      </c>
      <c r="G8" s="7">
        <f>'Premium Calculation'!E8</f>
        <v>0</v>
      </c>
      <c r="H8" s="7">
        <f>'Premium Calculation'!F8</f>
        <v>150</v>
      </c>
      <c r="I8" s="7">
        <f>D8*'Premium Calculation'!G8</f>
        <v>1070.8356062052519</v>
      </c>
      <c r="J8" s="7">
        <f>D8*'Premium Calculation'!H8</f>
        <v>0</v>
      </c>
      <c r="K8" s="7">
        <f>D8*'Premium Calculation'!I8</f>
        <v>1070.8356062052519</v>
      </c>
      <c r="L8" s="7">
        <f t="shared" si="0"/>
        <v>2291.6712124105038</v>
      </c>
      <c r="M8" s="7">
        <f>(D8-L8)*Assumptions!$B$10</f>
        <v>1243.1276592601448</v>
      </c>
      <c r="N8" s="7">
        <f t="shared" si="1"/>
        <v>7884.7659175198114</v>
      </c>
      <c r="O8" s="7">
        <f>(1+Assumptions!$B$10)^-'Profit Testing'!A8</f>
        <v>0.72988083652095492</v>
      </c>
      <c r="P8" s="7">
        <f t="shared" si="2"/>
        <v>5754.939543651275</v>
      </c>
    </row>
    <row r="9" spans="1:16" x14ac:dyDescent="0.3">
      <c r="A9" s="7">
        <v>6</v>
      </c>
      <c r="B9" s="7">
        <f>Mortality!A7</f>
        <v>35</v>
      </c>
      <c r="C9" s="7">
        <f>'Expected Claims'!D9</f>
        <v>0.99423831471351365</v>
      </c>
      <c r="D9" s="7">
        <v>21389.855567101411</v>
      </c>
      <c r="E9" s="7">
        <f>'Expected Claims'!E9</f>
        <v>1.3145818997142076E-3</v>
      </c>
      <c r="F9" s="7">
        <f>E9*Assumptions!$B$6</f>
        <v>13145.818997142076</v>
      </c>
      <c r="G9" s="7">
        <f>'Premium Calculation'!E9</f>
        <v>0</v>
      </c>
      <c r="H9" s="7">
        <f>'Premium Calculation'!F9</f>
        <v>150</v>
      </c>
      <c r="I9" s="7">
        <f>D9*'Premium Calculation'!G9</f>
        <v>1069.4927783550706</v>
      </c>
      <c r="J9" s="7">
        <f>D9*'Premium Calculation'!H9</f>
        <v>0</v>
      </c>
      <c r="K9" s="7">
        <f>D9*'Premium Calculation'!I9</f>
        <v>1069.4927783550706</v>
      </c>
      <c r="L9" s="7">
        <f t="shared" si="0"/>
        <v>2288.9855567101413</v>
      </c>
      <c r="M9" s="7">
        <f>(D9-L9)*Assumptions!$B$10</f>
        <v>1241.5565506754326</v>
      </c>
      <c r="N9" s="7">
        <f t="shared" si="1"/>
        <v>7196.6075639246264</v>
      </c>
      <c r="O9" s="7">
        <f>(1+Assumptions!$B$10)^-'Profit Testing'!A9</f>
        <v>0.68533411879901873</v>
      </c>
      <c r="P9" s="7">
        <f t="shared" si="2"/>
        <v>4932.0807031646364</v>
      </c>
    </row>
    <row r="10" spans="1:16" x14ac:dyDescent="0.3">
      <c r="A10" s="7">
        <v>7</v>
      </c>
      <c r="B10" s="7">
        <f>Mortality!A8</f>
        <v>36</v>
      </c>
      <c r="C10" s="7">
        <f>'Expected Claims'!D10</f>
        <v>0.99292373281379942</v>
      </c>
      <c r="D10" s="7">
        <v>21361.573900070587</v>
      </c>
      <c r="E10" s="7">
        <f>'Expected Claims'!E10</f>
        <v>1.392575535271354E-3</v>
      </c>
      <c r="F10" s="7">
        <f>E10*Assumptions!$B$6</f>
        <v>13925.755352713541</v>
      </c>
      <c r="G10" s="7">
        <f>'Premium Calculation'!E10</f>
        <v>0</v>
      </c>
      <c r="H10" s="7">
        <f>'Premium Calculation'!F10</f>
        <v>150</v>
      </c>
      <c r="I10" s="7">
        <f>D10*'Premium Calculation'!G10</f>
        <v>1068.0786950035294</v>
      </c>
      <c r="J10" s="7">
        <f>D10*'Premium Calculation'!H10</f>
        <v>0</v>
      </c>
      <c r="K10" s="7">
        <f>D10*'Premium Calculation'!I10</f>
        <v>1068.0786950035294</v>
      </c>
      <c r="L10" s="7">
        <f t="shared" si="0"/>
        <v>2286.1573900070589</v>
      </c>
      <c r="M10" s="7">
        <f>(D10-L10)*Assumptions!$B$10</f>
        <v>1239.9020731541295</v>
      </c>
      <c r="N10" s="7">
        <f t="shared" si="1"/>
        <v>6389.5632305041199</v>
      </c>
      <c r="O10" s="7">
        <f>(1+Assumptions!$B$10)^-'Profit Testing'!A10</f>
        <v>0.64350621483475945</v>
      </c>
      <c r="P10" s="7">
        <f t="shared" si="2"/>
        <v>4111.7236489090637</v>
      </c>
    </row>
    <row r="11" spans="1:16" x14ac:dyDescent="0.3">
      <c r="A11" s="7">
        <v>8</v>
      </c>
      <c r="B11" s="7">
        <f>Mortality!A9</f>
        <v>37</v>
      </c>
      <c r="C11" s="7">
        <f>'Expected Claims'!D11</f>
        <v>0.99153115727852814</v>
      </c>
      <c r="D11" s="7">
        <v>21331.614292675742</v>
      </c>
      <c r="E11" s="7">
        <f>'Expected Claims'!E11</f>
        <v>1.4811492427426656E-3</v>
      </c>
      <c r="F11" s="7">
        <f>E11*Assumptions!$B$6</f>
        <v>14811.492427426656</v>
      </c>
      <c r="G11" s="7">
        <f>'Premium Calculation'!E11</f>
        <v>0</v>
      </c>
      <c r="H11" s="7">
        <f>'Premium Calculation'!F11</f>
        <v>150</v>
      </c>
      <c r="I11" s="7">
        <f>D11*'Premium Calculation'!G11</f>
        <v>1066.5807146337872</v>
      </c>
      <c r="J11" s="7">
        <f>D11*'Premium Calculation'!H11</f>
        <v>0</v>
      </c>
      <c r="K11" s="7">
        <f>D11*'Premium Calculation'!I11</f>
        <v>1066.5807146337872</v>
      </c>
      <c r="L11" s="7">
        <f t="shared" si="0"/>
        <v>2283.1614292675745</v>
      </c>
      <c r="M11" s="7">
        <f>(D11-L11)*Assumptions!$B$10</f>
        <v>1238.1494361215309</v>
      </c>
      <c r="N11" s="7">
        <f t="shared" si="1"/>
        <v>5475.109872103043</v>
      </c>
      <c r="O11" s="7">
        <f>(1+Assumptions!$B$10)^-'Profit Testing'!A11</f>
        <v>0.60423118763827188</v>
      </c>
      <c r="P11" s="7">
        <f t="shared" si="2"/>
        <v>3308.2321404708487</v>
      </c>
    </row>
    <row r="12" spans="1:16" x14ac:dyDescent="0.3">
      <c r="A12" s="7">
        <v>9</v>
      </c>
      <c r="B12" s="7">
        <f>Mortality!A10</f>
        <v>38</v>
      </c>
      <c r="C12" s="7">
        <f>'Expected Claims'!D12</f>
        <v>0.99005000803578547</v>
      </c>
      <c r="D12" s="7">
        <v>21299.749127245341</v>
      </c>
      <c r="E12" s="7">
        <f>'Expected Claims'!E12</f>
        <v>1.582396927843596E-3</v>
      </c>
      <c r="F12" s="7">
        <f>E12*Assumptions!$B$6</f>
        <v>15823.969278435959</v>
      </c>
      <c r="G12" s="7">
        <f>'Premium Calculation'!E12</f>
        <v>0</v>
      </c>
      <c r="H12" s="7">
        <f>'Premium Calculation'!F12</f>
        <v>150</v>
      </c>
      <c r="I12" s="7">
        <f>D12*'Premium Calculation'!G12</f>
        <v>1064.987456362267</v>
      </c>
      <c r="J12" s="7">
        <f>D12*'Premium Calculation'!H12</f>
        <v>0</v>
      </c>
      <c r="K12" s="7">
        <f>D12*'Premium Calculation'!I12</f>
        <v>1064.987456362267</v>
      </c>
      <c r="L12" s="7">
        <f t="shared" si="0"/>
        <v>2279.9749127245341</v>
      </c>
      <c r="M12" s="7">
        <f>(D12-L12)*Assumptions!$B$10</f>
        <v>1236.2853239438525</v>
      </c>
      <c r="N12" s="7">
        <f t="shared" si="1"/>
        <v>4432.090260028699</v>
      </c>
      <c r="O12" s="7">
        <f>(1+Assumptions!$B$10)^-'Profit Testing'!A12</f>
        <v>0.56735322782936326</v>
      </c>
      <c r="P12" s="7">
        <f t="shared" si="2"/>
        <v>2514.5607150583642</v>
      </c>
    </row>
    <row r="13" spans="1:16" x14ac:dyDescent="0.3">
      <c r="A13" s="7">
        <v>10</v>
      </c>
      <c r="B13" s="7">
        <f>Mortality!A11</f>
        <v>39</v>
      </c>
      <c r="C13" s="7">
        <f>'Expected Claims'!D13</f>
        <v>0.98846761110794179</v>
      </c>
      <c r="D13" s="7">
        <v>21265.705738215263</v>
      </c>
      <c r="E13" s="7">
        <f>'Expected Claims'!E13</f>
        <v>1.6962104206612282E-3</v>
      </c>
      <c r="F13" s="7">
        <f>E13*Assumptions!$B$6</f>
        <v>16962.104206612283</v>
      </c>
      <c r="G13" s="7">
        <f>'Premium Calculation'!E13</f>
        <v>0</v>
      </c>
      <c r="H13" s="7">
        <f>'Premium Calculation'!F13</f>
        <v>150</v>
      </c>
      <c r="I13" s="7">
        <f>D13*'Premium Calculation'!G13</f>
        <v>1063.2852869107633</v>
      </c>
      <c r="J13" s="7">
        <f>D13*'Premium Calculation'!H13</f>
        <v>0</v>
      </c>
      <c r="K13" s="7">
        <f>D13*'Premium Calculation'!I13</f>
        <v>1063.2852869107633</v>
      </c>
      <c r="L13" s="7">
        <f t="shared" si="0"/>
        <v>2276.5705738215265</v>
      </c>
      <c r="M13" s="7">
        <f>(D13-L13)*Assumptions!$B$10</f>
        <v>1234.2937856855931</v>
      </c>
      <c r="N13" s="7">
        <f t="shared" si="1"/>
        <v>3261.3247434670484</v>
      </c>
      <c r="O13" s="7">
        <f>(1+Assumptions!$B$10)^-'Profit Testing'!A13</f>
        <v>0.53272603552052888</v>
      </c>
      <c r="P13" s="7">
        <f t="shared" si="2"/>
        <v>1737.3926011322067</v>
      </c>
    </row>
    <row r="14" spans="1:16" x14ac:dyDescent="0.3">
      <c r="A14" s="7">
        <v>11</v>
      </c>
      <c r="B14" s="7">
        <f>Mortality!A12</f>
        <v>40</v>
      </c>
      <c r="C14" s="7">
        <f>'Expected Claims'!D14</f>
        <v>0.98677140068728053</v>
      </c>
      <c r="D14" s="7">
        <v>21229.213787168486</v>
      </c>
      <c r="E14" s="7">
        <f>'Expected Claims'!E14</f>
        <v>1.8235535484700948E-3</v>
      </c>
      <c r="F14" s="7">
        <f>E14*Assumptions!$B$6</f>
        <v>18235.535484700948</v>
      </c>
      <c r="G14" s="7">
        <f>'Premium Calculation'!E14</f>
        <v>0</v>
      </c>
      <c r="H14" s="7">
        <f>'Premium Calculation'!F14</f>
        <v>150</v>
      </c>
      <c r="I14" s="7">
        <f>D14*'Premium Calculation'!G14</f>
        <v>1061.4606893584244</v>
      </c>
      <c r="J14" s="7">
        <f>D14*'Premium Calculation'!H14</f>
        <v>0</v>
      </c>
      <c r="K14" s="7">
        <f>D14*'Premium Calculation'!I14</f>
        <v>1061.4606893584244</v>
      </c>
      <c r="L14" s="7">
        <f t="shared" si="0"/>
        <v>2272.9213787168487</v>
      </c>
      <c r="M14" s="7">
        <f>(D14-L14)*Assumptions!$B$10</f>
        <v>1232.1590065493565</v>
      </c>
      <c r="N14" s="7">
        <f t="shared" si="1"/>
        <v>1952.9159303000451</v>
      </c>
      <c r="O14" s="7">
        <f>(1+Assumptions!$B$10)^-'Profit Testing'!A14</f>
        <v>0.50021223992537933</v>
      </c>
      <c r="P14" s="7">
        <f t="shared" si="2"/>
        <v>976.87245188134159</v>
      </c>
    </row>
    <row r="15" spans="1:16" x14ac:dyDescent="0.3">
      <c r="A15" s="7">
        <v>12</v>
      </c>
      <c r="B15" s="7">
        <f>Mortality!A13</f>
        <v>41</v>
      </c>
      <c r="C15" s="7">
        <f>'Expected Claims'!D15</f>
        <v>0.98494784713881045</v>
      </c>
      <c r="D15" s="7">
        <v>21189.982200089798</v>
      </c>
      <c r="E15" s="7">
        <f>'Expected Claims'!E15</f>
        <v>1.9664483768126349E-3</v>
      </c>
      <c r="F15" s="7">
        <f>E15*Assumptions!$B$6</f>
        <v>19664.483768126349</v>
      </c>
      <c r="G15" s="7">
        <f>'Premium Calculation'!E15</f>
        <v>0</v>
      </c>
      <c r="H15" s="7">
        <f>'Premium Calculation'!F15</f>
        <v>150</v>
      </c>
      <c r="I15" s="7">
        <f>D15*'Premium Calculation'!G15</f>
        <v>1059.4991100044899</v>
      </c>
      <c r="J15" s="7">
        <f>D15*'Premium Calculation'!H15</f>
        <v>0</v>
      </c>
      <c r="K15" s="7">
        <f>D15*'Premium Calculation'!I15</f>
        <v>1059.4991100044899</v>
      </c>
      <c r="L15" s="7">
        <f t="shared" si="0"/>
        <v>2268.9982200089798</v>
      </c>
      <c r="M15" s="7">
        <f>(D15-L15)*Assumptions!$B$10</f>
        <v>1229.8639587052533</v>
      </c>
      <c r="N15" s="7">
        <f t="shared" si="1"/>
        <v>486.36417065972273</v>
      </c>
      <c r="O15" s="7">
        <f>(1+Assumptions!$B$10)^-'Profit Testing'!A15</f>
        <v>0.4696828543900276</v>
      </c>
      <c r="P15" s="7">
        <f t="shared" si="2"/>
        <v>228.43691194849708</v>
      </c>
    </row>
    <row r="16" spans="1:16" x14ac:dyDescent="0.3">
      <c r="A16" s="7">
        <v>13</v>
      </c>
      <c r="B16" s="7">
        <f>Mortality!A14</f>
        <v>42</v>
      </c>
      <c r="C16" s="7">
        <f>'Expected Claims'!D16</f>
        <v>0.98298139876199786</v>
      </c>
      <c r="D16" s="7">
        <v>21147.676400627319</v>
      </c>
      <c r="E16" s="7">
        <f>'Expected Claims'!E16</f>
        <v>2.1290394115786111E-3</v>
      </c>
      <c r="F16" s="7">
        <f>E16*Assumptions!$B$6</f>
        <v>21290.394115786112</v>
      </c>
      <c r="G16" s="7">
        <f>'Premium Calculation'!E16</f>
        <v>0</v>
      </c>
      <c r="H16" s="7">
        <f>'Premium Calculation'!F16</f>
        <v>150</v>
      </c>
      <c r="I16" s="7">
        <f>D16*'Premium Calculation'!G16</f>
        <v>1057.383820031366</v>
      </c>
      <c r="J16" s="7">
        <f>D16*'Premium Calculation'!H16</f>
        <v>0</v>
      </c>
      <c r="K16" s="7">
        <f>D16*'Premium Calculation'!I16</f>
        <v>1057.383820031366</v>
      </c>
      <c r="L16" s="7">
        <f t="shared" si="0"/>
        <v>2264.767640062732</v>
      </c>
      <c r="M16" s="7">
        <f>(D16-L16)*Assumptions!$B$10</f>
        <v>1227.3890694366983</v>
      </c>
      <c r="N16" s="7">
        <f t="shared" si="1"/>
        <v>-1180.0962857848281</v>
      </c>
      <c r="O16" s="7">
        <f>(1+Assumptions!$B$10)^-'Profit Testing'!A16</f>
        <v>0.44101676468547191</v>
      </c>
      <c r="P16" s="7">
        <f t="shared" si="2"/>
        <v>-520.44224597416689</v>
      </c>
    </row>
    <row r="17" spans="1:16" x14ac:dyDescent="0.3">
      <c r="A17" s="7">
        <v>14</v>
      </c>
      <c r="B17" s="7">
        <f>Mortality!A15</f>
        <v>43</v>
      </c>
      <c r="C17" s="7">
        <f>'Expected Claims'!D17</f>
        <v>0.98085235935041915</v>
      </c>
      <c r="D17" s="7">
        <v>21101.8726483112</v>
      </c>
      <c r="E17" s="7">
        <f>'Expected Claims'!E17</f>
        <v>2.3132422042920287E-3</v>
      </c>
      <c r="F17" s="7">
        <f>E17*Assumptions!$B$6</f>
        <v>23132.422042920287</v>
      </c>
      <c r="G17" s="7">
        <f>'Premium Calculation'!E17</f>
        <v>0</v>
      </c>
      <c r="H17" s="7">
        <f>'Premium Calculation'!F17</f>
        <v>150</v>
      </c>
      <c r="I17" s="7">
        <f>D17*'Premium Calculation'!G17</f>
        <v>1055.09363241556</v>
      </c>
      <c r="J17" s="7">
        <f>D17*'Premium Calculation'!H17</f>
        <v>0</v>
      </c>
      <c r="K17" s="7">
        <f>D17*'Premium Calculation'!I17</f>
        <v>1055.09363241556</v>
      </c>
      <c r="L17" s="7">
        <f t="shared" si="0"/>
        <v>2260.18726483112</v>
      </c>
      <c r="M17" s="7">
        <f>(D17-L17)*Assumptions!$B$10</f>
        <v>1224.7095499262052</v>
      </c>
      <c r="N17" s="7">
        <f t="shared" si="1"/>
        <v>-3066.0271095140015</v>
      </c>
      <c r="O17" s="7">
        <f>(1+Assumptions!$B$10)^-'Profit Testing'!A17</f>
        <v>0.41410024853095956</v>
      </c>
      <c r="P17" s="7">
        <f t="shared" si="2"/>
        <v>-1269.6425880524075</v>
      </c>
    </row>
    <row r="18" spans="1:16" x14ac:dyDescent="0.3">
      <c r="A18" s="7">
        <v>15</v>
      </c>
      <c r="B18" s="7">
        <f>Mortality!A16</f>
        <v>44</v>
      </c>
      <c r="C18" s="7">
        <f>'Expected Claims'!D18</f>
        <v>0.97853911714612718</v>
      </c>
      <c r="D18" s="7">
        <v>21052.105991857425</v>
      </c>
      <c r="E18" s="7">
        <f>'Expected Claims'!E18</f>
        <v>2.5241416526784353E-3</v>
      </c>
      <c r="F18" s="7">
        <f>E18*Assumptions!$B$6</f>
        <v>25241.416526784353</v>
      </c>
      <c r="G18" s="7">
        <f>'Premium Calculation'!E18</f>
        <v>0</v>
      </c>
      <c r="H18" s="7">
        <f>'Premium Calculation'!F18</f>
        <v>150</v>
      </c>
      <c r="I18" s="7">
        <f>D18*'Premium Calculation'!G18</f>
        <v>1052.6052995928712</v>
      </c>
      <c r="J18" s="7">
        <f>D18*'Premium Calculation'!H18</f>
        <v>0</v>
      </c>
      <c r="K18" s="7">
        <f>D18*'Premium Calculation'!I18</f>
        <v>1052.6052995928712</v>
      </c>
      <c r="L18" s="7">
        <f t="shared" si="0"/>
        <v>2255.2105991857425</v>
      </c>
      <c r="M18" s="7">
        <f>(D18-L18)*Assumptions!$B$10</f>
        <v>1221.7982005236595</v>
      </c>
      <c r="N18" s="7">
        <f t="shared" si="1"/>
        <v>-5222.7229335890115</v>
      </c>
      <c r="O18" s="7">
        <f>(1+Assumptions!$B$10)^-'Profit Testing'!A18</f>
        <v>0.38882652444221566</v>
      </c>
      <c r="P18" s="7">
        <f t="shared" si="2"/>
        <v>-2030.733206392068</v>
      </c>
    </row>
    <row r="19" spans="1:16" x14ac:dyDescent="0.3">
      <c r="A19" s="7">
        <v>16</v>
      </c>
      <c r="B19" s="7">
        <f>Mortality!A17</f>
        <v>45</v>
      </c>
      <c r="C19" s="7">
        <f>'Expected Claims'!D19</f>
        <v>0.97601497549344873</v>
      </c>
      <c r="D19" s="7">
        <v>20997.802084451429</v>
      </c>
      <c r="E19" s="7">
        <f>'Expected Claims'!E19</f>
        <v>2.7688568839773649E-3</v>
      </c>
      <c r="F19" s="7">
        <f>E19*Assumptions!$B$6</f>
        <v>27688.568839773649</v>
      </c>
      <c r="G19" s="7">
        <f>'Premium Calculation'!E19</f>
        <v>0</v>
      </c>
      <c r="H19" s="7">
        <f>'Premium Calculation'!F19</f>
        <v>150</v>
      </c>
      <c r="I19" s="7">
        <f>D19*'Premium Calculation'!G19</f>
        <v>1049.8901042225714</v>
      </c>
      <c r="J19" s="7">
        <f>D19*'Premium Calculation'!H19</f>
        <v>0</v>
      </c>
      <c r="K19" s="7">
        <f>D19*'Premium Calculation'!I19</f>
        <v>1049.8901042225714</v>
      </c>
      <c r="L19" s="7">
        <f t="shared" si="0"/>
        <v>2249.7802084451428</v>
      </c>
      <c r="M19" s="7">
        <f>(D19-L19)*Assumptions!$B$10</f>
        <v>1218.6214219404085</v>
      </c>
      <c r="N19" s="7">
        <f t="shared" si="1"/>
        <v>-7721.9255418269531</v>
      </c>
      <c r="O19" s="7">
        <f>(1+Assumptions!$B$10)^-'Profit Testing'!A19</f>
        <v>0.36509532811475648</v>
      </c>
      <c r="P19" s="7">
        <f t="shared" si="2"/>
        <v>-2819.23893937103</v>
      </c>
    </row>
    <row r="20" spans="1:16" x14ac:dyDescent="0.3">
      <c r="A20" s="7">
        <v>17</v>
      </c>
      <c r="B20" s="7">
        <f>Mortality!A18</f>
        <v>46</v>
      </c>
      <c r="C20" s="7">
        <f>'Expected Claims'!D20</f>
        <v>0.9732461186094713</v>
      </c>
      <c r="D20" s="7">
        <v>20938.233419718046</v>
      </c>
      <c r="E20" s="7">
        <f>'Expected Claims'!E20</f>
        <v>3.0521971525711632E-3</v>
      </c>
      <c r="F20" s="7">
        <f>E20*Assumptions!$B$6</f>
        <v>30521.971525711633</v>
      </c>
      <c r="G20" s="7">
        <f>'Premium Calculation'!E20</f>
        <v>0</v>
      </c>
      <c r="H20" s="7">
        <f>'Premium Calculation'!F20</f>
        <v>150</v>
      </c>
      <c r="I20" s="7">
        <f>D20*'Premium Calculation'!G20</f>
        <v>1046.9116709859024</v>
      </c>
      <c r="J20" s="7">
        <f>D20*'Premium Calculation'!H20</f>
        <v>0</v>
      </c>
      <c r="K20" s="7">
        <f>D20*'Premium Calculation'!I20</f>
        <v>1046.9116709859024</v>
      </c>
      <c r="L20" s="7">
        <f t="shared" si="0"/>
        <v>2243.8233419718049</v>
      </c>
      <c r="M20" s="7">
        <f>(D20-L20)*Assumptions!$B$10</f>
        <v>1215.1366550535056</v>
      </c>
      <c r="N20" s="7">
        <f t="shared" si="1"/>
        <v>-10612.424792911886</v>
      </c>
      <c r="O20" s="7">
        <f>(1+Assumptions!$B$10)^-'Profit Testing'!A20</f>
        <v>0.34281251466174323</v>
      </c>
      <c r="P20" s="7">
        <f t="shared" si="2"/>
        <v>-3638.0720299167533</v>
      </c>
    </row>
    <row r="21" spans="1:16" x14ac:dyDescent="0.3">
      <c r="A21" s="7">
        <v>18</v>
      </c>
      <c r="B21" s="7">
        <f>Mortality!A19</f>
        <v>47</v>
      </c>
      <c r="C21" s="7">
        <f>'Expected Claims'!D21</f>
        <v>0.9701939214569002</v>
      </c>
      <c r="D21" s="7">
        <v>20872.569025890469</v>
      </c>
      <c r="E21" s="7">
        <f>'Expected Claims'!E21</f>
        <v>3.380931777493006E-3</v>
      </c>
      <c r="F21" s="7">
        <f>E21*Assumptions!$B$6</f>
        <v>33809.317774930059</v>
      </c>
      <c r="G21" s="7">
        <f>'Premium Calculation'!E21</f>
        <v>0</v>
      </c>
      <c r="H21" s="7">
        <f>'Premium Calculation'!F21</f>
        <v>150</v>
      </c>
      <c r="I21" s="7">
        <f>D21*'Premium Calculation'!G21</f>
        <v>1043.6284512945235</v>
      </c>
      <c r="J21" s="7">
        <f>D21*'Premium Calculation'!H21</f>
        <v>0</v>
      </c>
      <c r="K21" s="7">
        <f>D21*'Premium Calculation'!I21</f>
        <v>1043.6284512945235</v>
      </c>
      <c r="L21" s="7">
        <f t="shared" si="0"/>
        <v>2237.2569025890471</v>
      </c>
      <c r="M21" s="7">
        <f>(D21-L21)*Assumptions!$B$10</f>
        <v>1211.2952880145924</v>
      </c>
      <c r="N21" s="7">
        <f t="shared" si="1"/>
        <v>-13962.710363614045</v>
      </c>
      <c r="O21" s="7">
        <f>(1+Assumptions!$B$10)^-'Profit Testing'!A21</f>
        <v>0.32188968512839738</v>
      </c>
      <c r="P21" s="7">
        <f t="shared" si="2"/>
        <v>-4494.4524424827359</v>
      </c>
    </row>
    <row r="22" spans="1:16" x14ac:dyDescent="0.3">
      <c r="A22" s="7">
        <v>19</v>
      </c>
      <c r="B22" s="7">
        <f>Mortality!A20</f>
        <v>48</v>
      </c>
      <c r="C22" s="7">
        <f>'Expected Claims'!D22</f>
        <v>0.96681298967940721</v>
      </c>
      <c r="D22" s="7">
        <v>20799.832297349047</v>
      </c>
      <c r="E22" s="7">
        <f>'Expected Claims'!E22</f>
        <v>3.7605158046570227E-3</v>
      </c>
      <c r="F22" s="7">
        <f>E22*Assumptions!$B$6</f>
        <v>37605.158046570228</v>
      </c>
      <c r="G22" s="7">
        <f>'Premium Calculation'!E22</f>
        <v>0</v>
      </c>
      <c r="H22" s="7">
        <f>'Premium Calculation'!F22</f>
        <v>150</v>
      </c>
      <c r="I22" s="7">
        <f>D22*'Premium Calculation'!G22</f>
        <v>1039.9916148674524</v>
      </c>
      <c r="J22" s="7">
        <f>D22*'Premium Calculation'!H22</f>
        <v>0</v>
      </c>
      <c r="K22" s="7">
        <f>D22*'Premium Calculation'!I22</f>
        <v>1039.9916148674524</v>
      </c>
      <c r="L22" s="7">
        <f t="shared" si="0"/>
        <v>2229.9832297349049</v>
      </c>
      <c r="M22" s="7">
        <f>(D22-L22)*Assumptions!$B$10</f>
        <v>1207.0401893949193</v>
      </c>
      <c r="N22" s="7">
        <f t="shared" si="1"/>
        <v>-17828.268789561167</v>
      </c>
      <c r="O22" s="7">
        <f>(1+Assumptions!$B$10)^-'Profit Testing'!A22</f>
        <v>0.30224383580131214</v>
      </c>
      <c r="P22" s="7">
        <f t="shared" si="2"/>
        <v>-5388.4843446537834</v>
      </c>
    </row>
    <row r="23" spans="1:16" x14ac:dyDescent="0.3">
      <c r="A23" s="7">
        <v>20</v>
      </c>
      <c r="B23" s="7">
        <f>Mortality!A21</f>
        <v>49</v>
      </c>
      <c r="C23" s="7">
        <f>'Expected Claims'!D23</f>
        <v>0.96305247387475013</v>
      </c>
      <c r="D23" s="7">
        <v>20718.929269645276</v>
      </c>
      <c r="E23" s="7">
        <f>'Expected Claims'!E23</f>
        <v>4.1929378607558866E-3</v>
      </c>
      <c r="F23" s="7">
        <f>E23*Assumptions!$B$6</f>
        <v>41929.378607558865</v>
      </c>
      <c r="G23" s="7">
        <f>'Premium Calculation'!E23</f>
        <v>0</v>
      </c>
      <c r="H23" s="7">
        <f>'Premium Calculation'!F23</f>
        <v>150</v>
      </c>
      <c r="I23" s="7">
        <f>D23*'Premium Calculation'!G23</f>
        <v>1035.9464634822639</v>
      </c>
      <c r="J23" s="7">
        <f>D23*'Premium Calculation'!H23</f>
        <v>0</v>
      </c>
      <c r="K23" s="7">
        <f>D23*'Premium Calculation'!I23</f>
        <v>1035.9464634822639</v>
      </c>
      <c r="L23" s="7">
        <f t="shared" si="0"/>
        <v>2221.8929269645278</v>
      </c>
      <c r="M23" s="7">
        <f>(D23-L23)*Assumptions!$B$10</f>
        <v>1202.3073622742488</v>
      </c>
      <c r="N23" s="7">
        <f t="shared" si="1"/>
        <v>-22230.034902603868</v>
      </c>
      <c r="O23" s="7">
        <f>(1+Assumptions!$B$10)^-'Profit Testing'!A23</f>
        <v>0.28379702892141989</v>
      </c>
      <c r="P23" s="7">
        <f t="shared" si="2"/>
        <v>-6308.8178581784432</v>
      </c>
    </row>
    <row r="25" spans="1:16" x14ac:dyDescent="0.3">
      <c r="A25" s="4" t="s">
        <v>55</v>
      </c>
      <c r="P25" s="14">
        <f>SUM(P4:P23)</f>
        <v>24952.841720449447</v>
      </c>
    </row>
    <row r="32" spans="1:16" x14ac:dyDescent="0.3">
      <c r="M32" s="3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28EF6-F7B3-4907-954E-1F7F487C9E91}">
  <dimension ref="A1:D10"/>
  <sheetViews>
    <sheetView workbookViewId="0">
      <selection activeCell="A3" sqref="A3:D3"/>
    </sheetView>
  </sheetViews>
  <sheetFormatPr defaultRowHeight="14.4" x14ac:dyDescent="0.3"/>
  <cols>
    <col min="1" max="1" width="33.6640625" customWidth="1"/>
    <col min="2" max="2" width="27.21875" customWidth="1"/>
    <col min="3" max="3" width="15.21875" bestFit="1" customWidth="1"/>
    <col min="4" max="4" width="24.77734375" bestFit="1" customWidth="1"/>
  </cols>
  <sheetData>
    <row r="1" spans="1:4" ht="21" x14ac:dyDescent="0.4">
      <c r="A1" s="20" t="s">
        <v>56</v>
      </c>
      <c r="B1" s="20"/>
    </row>
    <row r="3" spans="1:4" x14ac:dyDescent="0.3">
      <c r="A3" s="21" t="s">
        <v>57</v>
      </c>
      <c r="B3" s="21" t="s">
        <v>58</v>
      </c>
      <c r="C3" s="21" t="s">
        <v>59</v>
      </c>
      <c r="D3" s="21" t="s">
        <v>69</v>
      </c>
    </row>
    <row r="4" spans="1:4" x14ac:dyDescent="0.3">
      <c r="A4" s="7" t="s">
        <v>60</v>
      </c>
      <c r="B4" s="13" t="s">
        <v>67</v>
      </c>
      <c r="C4" s="7">
        <v>21513.811379999999</v>
      </c>
      <c r="D4" s="7">
        <v>24952.84172</v>
      </c>
    </row>
    <row r="5" spans="1:4" x14ac:dyDescent="0.3">
      <c r="A5" s="7" t="s">
        <v>61</v>
      </c>
      <c r="B5" s="13">
        <v>0.01</v>
      </c>
      <c r="C5" s="7">
        <v>20876.231039999999</v>
      </c>
      <c r="D5" s="7">
        <v>28752.301670000001</v>
      </c>
    </row>
    <row r="6" spans="1:4" x14ac:dyDescent="0.3">
      <c r="A6" s="7" t="s">
        <v>62</v>
      </c>
      <c r="B6" s="13">
        <v>-0.01</v>
      </c>
      <c r="C6" s="7">
        <v>22187.162090000002</v>
      </c>
      <c r="D6" s="7">
        <v>20180.827509999999</v>
      </c>
    </row>
    <row r="7" spans="1:4" x14ac:dyDescent="0.3">
      <c r="A7" s="7" t="s">
        <v>66</v>
      </c>
      <c r="B7" s="13">
        <v>0.1</v>
      </c>
      <c r="C7" s="7">
        <v>23439.567009999999</v>
      </c>
      <c r="D7" s="7">
        <v>7572.4311660000003</v>
      </c>
    </row>
    <row r="8" spans="1:4" x14ac:dyDescent="0.3">
      <c r="A8" s="7" t="s">
        <v>65</v>
      </c>
      <c r="B8" s="13">
        <v>-0.1</v>
      </c>
      <c r="C8" s="7">
        <v>19586.516179999999</v>
      </c>
      <c r="D8" s="7">
        <v>42382.338459999999</v>
      </c>
    </row>
    <row r="9" spans="1:4" x14ac:dyDescent="0.3">
      <c r="A9" s="7" t="s">
        <v>63</v>
      </c>
      <c r="B9" s="13">
        <v>0.1</v>
      </c>
      <c r="C9" s="7">
        <v>21850.187190000001</v>
      </c>
      <c r="D9" s="7">
        <v>21921.920050000001</v>
      </c>
    </row>
    <row r="10" spans="1:4" x14ac:dyDescent="0.3">
      <c r="A10" s="7" t="s">
        <v>64</v>
      </c>
      <c r="B10" s="13">
        <v>-0.1</v>
      </c>
      <c r="C10" s="7">
        <v>21186.951089999999</v>
      </c>
      <c r="D10" s="7">
        <v>27983.76339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5F0A-3FD9-4426-B92A-042AEF439CC8}">
  <dimension ref="A1:D35"/>
  <sheetViews>
    <sheetView topLeftCell="A11" workbookViewId="0">
      <selection activeCell="D9" sqref="D9"/>
    </sheetView>
  </sheetViews>
  <sheetFormatPr defaultRowHeight="14.4" x14ac:dyDescent="0.3"/>
  <cols>
    <col min="1" max="1" width="26" customWidth="1"/>
    <col min="2" max="2" width="20.109375" bestFit="1" customWidth="1"/>
    <col min="3" max="3" width="15.77734375" customWidth="1"/>
    <col min="4" max="4" width="26.21875" customWidth="1"/>
  </cols>
  <sheetData>
    <row r="1" spans="1:4" ht="21" x14ac:dyDescent="0.4">
      <c r="A1" s="22" t="s">
        <v>0</v>
      </c>
      <c r="B1" s="22"/>
      <c r="C1" s="22"/>
      <c r="D1" s="22"/>
    </row>
    <row r="3" spans="1:4" ht="15.6" x14ac:dyDescent="0.3">
      <c r="A3" s="5" t="s">
        <v>70</v>
      </c>
    </row>
    <row r="4" spans="1:4" x14ac:dyDescent="0.3">
      <c r="A4" s="6" t="s">
        <v>5</v>
      </c>
      <c r="B4" s="7">
        <f>Assumptions!B4</f>
        <v>30</v>
      </c>
    </row>
    <row r="5" spans="1:4" x14ac:dyDescent="0.3">
      <c r="A5" s="6" t="s">
        <v>71</v>
      </c>
      <c r="B5" s="7">
        <f>Assumptions!B5</f>
        <v>20</v>
      </c>
    </row>
    <row r="6" spans="1:4" x14ac:dyDescent="0.3">
      <c r="A6" s="6" t="s">
        <v>72</v>
      </c>
      <c r="B6" s="8">
        <f>Assumptions!B6</f>
        <v>10000000</v>
      </c>
    </row>
    <row r="7" spans="1:4" x14ac:dyDescent="0.3">
      <c r="A7" s="6" t="str">
        <f>Assumptions!A7</f>
        <v>Premium Frequency</v>
      </c>
      <c r="B7" s="7" t="str">
        <f>Assumptions!B7</f>
        <v>Annual</v>
      </c>
    </row>
    <row r="8" spans="1:4" x14ac:dyDescent="0.3">
      <c r="A8" s="6" t="str">
        <f>Assumptions!A8</f>
        <v>Mortality Basis</v>
      </c>
      <c r="B8" s="7" t="str">
        <f>Assumptions!B8</f>
        <v>IALM 2012-14 Ultimate</v>
      </c>
    </row>
    <row r="9" spans="1:4" x14ac:dyDescent="0.3">
      <c r="A9" s="6" t="str">
        <f>Assumptions!A9</f>
        <v>Market 10Y G-Sec Yield</v>
      </c>
      <c r="B9" s="9">
        <f>Assumptions!B9</f>
        <v>7.1099999999999997E-2</v>
      </c>
    </row>
    <row r="10" spans="1:4" x14ac:dyDescent="0.3">
      <c r="A10" s="6" t="str">
        <f>Assumptions!A10</f>
        <v>Pricing Interest Rate</v>
      </c>
      <c r="B10" s="9">
        <f>Assumptions!B10</f>
        <v>6.5000000000000002E-2</v>
      </c>
    </row>
    <row r="11" spans="1:4" x14ac:dyDescent="0.3">
      <c r="A11" s="6" t="str">
        <f>Assumptions!A11</f>
        <v>Mortality Loading</v>
      </c>
      <c r="B11" s="10">
        <f>Assumptions!B11</f>
        <v>0.1</v>
      </c>
    </row>
    <row r="12" spans="1:4" x14ac:dyDescent="0.3">
      <c r="A12" s="6" t="s">
        <v>17</v>
      </c>
      <c r="B12" s="11">
        <v>0.1</v>
      </c>
    </row>
    <row r="14" spans="1:4" ht="15.6" x14ac:dyDescent="0.3">
      <c r="A14" s="5" t="s">
        <v>73</v>
      </c>
    </row>
    <row r="15" spans="1:4" x14ac:dyDescent="0.3">
      <c r="A15" s="6" t="s">
        <v>59</v>
      </c>
      <c r="B15" s="12">
        <f>'Premium Calculation'!B34</f>
        <v>21513.811377571808</v>
      </c>
    </row>
    <row r="16" spans="1:4" x14ac:dyDescent="0.3">
      <c r="A16" s="6" t="s">
        <v>74</v>
      </c>
      <c r="B16" s="12">
        <f>'Premium Calculation'!B31*'Premium Calculation'!B34</f>
        <v>249719.38459516937</v>
      </c>
    </row>
    <row r="17" spans="1:2" x14ac:dyDescent="0.3">
      <c r="A17" s="6" t="s">
        <v>75</v>
      </c>
      <c r="B17" s="12">
        <f>'Expected Claims'!G25</f>
        <v>194457.32617580105</v>
      </c>
    </row>
    <row r="18" spans="1:2" x14ac:dyDescent="0.3">
      <c r="A18" s="6" t="s">
        <v>76</v>
      </c>
      <c r="B18" s="12">
        <f>'Premium Calculation'!B30+('Premium Calculation'!B32*'Premium Calculation'!B34)</f>
        <v>30290.119959851356</v>
      </c>
    </row>
    <row r="19" spans="1:2" x14ac:dyDescent="0.3">
      <c r="A19" s="6" t="s">
        <v>54</v>
      </c>
      <c r="B19" s="12">
        <f>'Profit Testing'!P25</f>
        <v>24952.841720449447</v>
      </c>
    </row>
    <row r="21" spans="1:2" ht="15.6" x14ac:dyDescent="0.3">
      <c r="A21" s="5" t="s">
        <v>77</v>
      </c>
    </row>
    <row r="22" spans="1:2" x14ac:dyDescent="0.3">
      <c r="A22" s="6" t="s">
        <v>78</v>
      </c>
      <c r="B22" s="6" t="s">
        <v>68</v>
      </c>
    </row>
    <row r="23" spans="1:2" x14ac:dyDescent="0.3">
      <c r="A23" s="7" t="str">
        <f>'Sensitivity Analysis'!A6</f>
        <v>Interest rate - 1%</v>
      </c>
      <c r="B23" s="12">
        <f>'Sensitivity Analysis'!D6</f>
        <v>20180.827509999999</v>
      </c>
    </row>
    <row r="24" spans="1:2" x14ac:dyDescent="0.3">
      <c r="A24" s="7" t="str">
        <f>'Sensitivity Analysis'!A4</f>
        <v>Base Case</v>
      </c>
      <c r="B24" s="12">
        <f>B19</f>
        <v>24952.841720449447</v>
      </c>
    </row>
    <row r="25" spans="1:2" x14ac:dyDescent="0.3">
      <c r="A25" s="7" t="str">
        <f>'Sensitivity Analysis'!A5</f>
        <v>Interest rate + 1%</v>
      </c>
      <c r="B25" s="12">
        <f>'Sensitivity Analysis'!D5</f>
        <v>28752.301670000001</v>
      </c>
    </row>
    <row r="26" spans="1:2" x14ac:dyDescent="0.3">
      <c r="A26" s="7" t="str">
        <f>'Sensitivity Analysis'!A8</f>
        <v>Mortality - 10%</v>
      </c>
      <c r="B26" s="12">
        <f>'Sensitivity Analysis'!D8</f>
        <v>42382.338459999999</v>
      </c>
    </row>
    <row r="27" spans="1:2" x14ac:dyDescent="0.3">
      <c r="A27" s="7" t="str">
        <f>'Sensitivity Analysis'!A7</f>
        <v>Mortality + 10%</v>
      </c>
      <c r="B27" s="12">
        <f>'Sensitivity Analysis'!D7</f>
        <v>7572.4311660000003</v>
      </c>
    </row>
    <row r="28" spans="1:2" x14ac:dyDescent="0.3">
      <c r="A28" s="7" t="str">
        <f>'Sensitivity Analysis'!A10</f>
        <v>Expenses - 10%</v>
      </c>
      <c r="B28" s="12">
        <f>'Sensitivity Analysis'!D10</f>
        <v>27983.76339</v>
      </c>
    </row>
    <row r="29" spans="1:2" x14ac:dyDescent="0.3">
      <c r="A29" s="7" t="str">
        <f>'Sensitivity Analysis'!A9</f>
        <v>Expenses + 10%</v>
      </c>
      <c r="B29" s="12">
        <f>'Sensitivity Analysis'!D9</f>
        <v>21921.920050000001</v>
      </c>
    </row>
    <row r="31" spans="1:2" ht="15.6" x14ac:dyDescent="0.3">
      <c r="A31" s="5" t="s">
        <v>79</v>
      </c>
    </row>
    <row r="32" spans="1:2" x14ac:dyDescent="0.3">
      <c r="A32" t="s">
        <v>80</v>
      </c>
    </row>
    <row r="33" spans="1:1" x14ac:dyDescent="0.3">
      <c r="A33" t="s">
        <v>81</v>
      </c>
    </row>
    <row r="34" spans="1:1" x14ac:dyDescent="0.3">
      <c r="A34" t="s">
        <v>82</v>
      </c>
    </row>
    <row r="35" spans="1:1" x14ac:dyDescent="0.3">
      <c r="A35" t="s">
        <v>83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Mortality</vt:lpstr>
      <vt:lpstr>Expected Claims</vt:lpstr>
      <vt:lpstr>Premium Calculation</vt:lpstr>
      <vt:lpstr>Profit Testing</vt:lpstr>
      <vt:lpstr>Sensitivity Analysis</vt:lpstr>
      <vt:lpstr>Summary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Parul Choudhary</dc:creator>
  <cp:lastModifiedBy>Parul Choudhary</cp:lastModifiedBy>
  <dcterms:created xsi:type="dcterms:W3CDTF">2026-09-25T14:29:57Z</dcterms:created>
  <dcterms:modified xsi:type="dcterms:W3CDTF">2026-09-30T13:23:29Z</dcterms:modified>
</cp:coreProperties>
</file>